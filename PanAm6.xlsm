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initellj\backend\"/>
    </mc:Choice>
  </mc:AlternateContent>
  <xr:revisionPtr revIDLastSave="0" documentId="8_{00FBD70C-0886-4424-8F39-E8E9C65D72A6}" xr6:coauthVersionLast="47" xr6:coauthVersionMax="47" xr10:uidLastSave="{00000000-0000-0000-0000-000000000000}"/>
  <bookViews>
    <workbookView xWindow="-28920" yWindow="-120" windowWidth="29040" windowHeight="15840" activeTab="1" xr2:uid="{00000000-000D-0000-FFFF-FFFF00000000}"/>
  </bookViews>
  <sheets>
    <sheet name="Sheet2" sheetId="2" r:id="rId1"/>
    <sheet name="Sheet1" sheetId="1" r:id="rId2"/>
  </sheets>
  <functionGroups builtInGroupCount="19"/>
  <calcPr calcId="191029"/>
  <pivotCaches>
    <pivotCache cacheId="0" r:id="rId3"/>
  </pivotCaches>
</workbook>
</file>

<file path=xl/calcChain.xml><?xml version="1.0" encoding="utf-8"?>
<calcChain xmlns="http://schemas.openxmlformats.org/spreadsheetml/2006/main">
  <c r="U17" i="1" l="1"/>
  <c r="M6" i="1"/>
  <c r="U14" i="1"/>
  <c r="U11" i="1"/>
  <c r="U8" i="1"/>
  <c r="F2" i="1"/>
  <c r="F44" i="1"/>
  <c r="F28" i="1"/>
  <c r="F12" i="1"/>
  <c r="F11" i="1"/>
  <c r="F41" i="1"/>
  <c r="F40" i="1"/>
  <c r="F23" i="1"/>
  <c r="F38" i="1"/>
  <c r="F19" i="1"/>
  <c r="F34" i="1"/>
  <c r="F33" i="1"/>
  <c r="F16" i="1"/>
  <c r="F15" i="1"/>
  <c r="F43" i="1"/>
  <c r="F27" i="1"/>
  <c r="F25" i="1"/>
  <c r="F8" i="1"/>
  <c r="F39" i="1"/>
  <c r="F6" i="1"/>
  <c r="F37" i="1"/>
  <c r="F36" i="1"/>
  <c r="F32" i="1"/>
  <c r="F14" i="1"/>
  <c r="F29" i="1"/>
  <c r="F13" i="1"/>
  <c r="F42" i="1"/>
  <c r="F26" i="1"/>
  <c r="F10" i="1"/>
  <c r="F9" i="1"/>
  <c r="F24" i="1"/>
  <c r="F7" i="1"/>
  <c r="F22" i="1"/>
  <c r="F21" i="1"/>
  <c r="F5" i="1"/>
  <c r="F20" i="1"/>
  <c r="F4" i="1"/>
  <c r="F35" i="1"/>
  <c r="F3" i="1"/>
  <c r="F18" i="1"/>
  <c r="F17" i="1"/>
  <c r="F31" i="1"/>
  <c r="F30" i="1"/>
  <c r="F545" i="1"/>
  <c r="F529" i="1"/>
  <c r="F513" i="1"/>
  <c r="F497" i="1"/>
  <c r="F481" i="1"/>
  <c r="F465" i="1"/>
  <c r="F449" i="1"/>
  <c r="F433" i="1"/>
  <c r="F417" i="1"/>
  <c r="F401" i="1"/>
  <c r="F385" i="1"/>
  <c r="F369" i="1"/>
  <c r="F353" i="1"/>
  <c r="F337" i="1"/>
  <c r="F321" i="1"/>
  <c r="F305" i="1"/>
  <c r="F289" i="1"/>
  <c r="F273" i="1"/>
  <c r="F257" i="1"/>
  <c r="F241" i="1"/>
  <c r="F225" i="1"/>
  <c r="F209" i="1"/>
  <c r="F193" i="1"/>
  <c r="F177" i="1"/>
  <c r="F161" i="1"/>
  <c r="F145" i="1"/>
  <c r="F129" i="1"/>
  <c r="F113" i="1"/>
  <c r="F97" i="1"/>
  <c r="F81" i="1"/>
  <c r="F65" i="1"/>
  <c r="F49" i="1"/>
  <c r="F371" i="1"/>
  <c r="F307" i="1"/>
  <c r="F131" i="1"/>
  <c r="F434" i="1"/>
  <c r="F98" i="1"/>
  <c r="F544" i="1"/>
  <c r="F528" i="1"/>
  <c r="F512" i="1"/>
  <c r="F496" i="1"/>
  <c r="F480" i="1"/>
  <c r="F464" i="1"/>
  <c r="F448" i="1"/>
  <c r="F432" i="1"/>
  <c r="F416" i="1"/>
  <c r="F400" i="1"/>
  <c r="F384" i="1"/>
  <c r="F368" i="1"/>
  <c r="F352" i="1"/>
  <c r="F336" i="1"/>
  <c r="F320" i="1"/>
  <c r="F304" i="1"/>
  <c r="F288" i="1"/>
  <c r="F272" i="1"/>
  <c r="F256" i="1"/>
  <c r="F240" i="1"/>
  <c r="F224" i="1"/>
  <c r="F208" i="1"/>
  <c r="F192" i="1"/>
  <c r="F176" i="1"/>
  <c r="F160" i="1"/>
  <c r="F144" i="1"/>
  <c r="F128" i="1"/>
  <c r="F112" i="1"/>
  <c r="F96" i="1"/>
  <c r="F80" i="1"/>
  <c r="F64" i="1"/>
  <c r="F48" i="1"/>
  <c r="F543" i="1"/>
  <c r="F527" i="1"/>
  <c r="F511" i="1"/>
  <c r="F495" i="1"/>
  <c r="F479" i="1"/>
  <c r="F463" i="1"/>
  <c r="F447" i="1"/>
  <c r="F431" i="1"/>
  <c r="F415" i="1"/>
  <c r="F399" i="1"/>
  <c r="F383" i="1"/>
  <c r="F367" i="1"/>
  <c r="F351" i="1"/>
  <c r="F335" i="1"/>
  <c r="F319" i="1"/>
  <c r="F303" i="1"/>
  <c r="F287" i="1"/>
  <c r="F271" i="1"/>
  <c r="F255" i="1"/>
  <c r="F239" i="1"/>
  <c r="F223" i="1"/>
  <c r="F207" i="1"/>
  <c r="F191" i="1"/>
  <c r="F175" i="1"/>
  <c r="F159" i="1"/>
  <c r="F143" i="1"/>
  <c r="F127" i="1"/>
  <c r="F111" i="1"/>
  <c r="F95" i="1"/>
  <c r="F79" i="1"/>
  <c r="F63" i="1"/>
  <c r="F47" i="1"/>
  <c r="F45" i="1"/>
  <c r="F278" i="1"/>
  <c r="F86" i="1"/>
  <c r="F403" i="1"/>
  <c r="F147" i="1"/>
  <c r="F498" i="1"/>
  <c r="F258" i="1"/>
  <c r="F134" i="1"/>
  <c r="F355" i="1"/>
  <c r="F163" i="1"/>
  <c r="F83" i="1"/>
  <c r="F530" i="1"/>
  <c r="F370" i="1"/>
  <c r="F306" i="1"/>
  <c r="F226" i="1"/>
  <c r="F130" i="1"/>
  <c r="F542" i="1"/>
  <c r="F526" i="1"/>
  <c r="F510" i="1"/>
  <c r="F494" i="1"/>
  <c r="F478" i="1"/>
  <c r="F462" i="1"/>
  <c r="F446" i="1"/>
  <c r="F430" i="1"/>
  <c r="F414" i="1"/>
  <c r="F398" i="1"/>
  <c r="F382" i="1"/>
  <c r="F366" i="1"/>
  <c r="F350" i="1"/>
  <c r="F334" i="1"/>
  <c r="F318" i="1"/>
  <c r="F302" i="1"/>
  <c r="F286" i="1"/>
  <c r="F270" i="1"/>
  <c r="F254" i="1"/>
  <c r="F238" i="1"/>
  <c r="F222" i="1"/>
  <c r="F206" i="1"/>
  <c r="F190" i="1"/>
  <c r="F174" i="1"/>
  <c r="F158" i="1"/>
  <c r="F142" i="1"/>
  <c r="F126" i="1"/>
  <c r="F110" i="1"/>
  <c r="F94" i="1"/>
  <c r="F78" i="1"/>
  <c r="F62" i="1"/>
  <c r="F46" i="1"/>
  <c r="F541" i="1"/>
  <c r="F525" i="1"/>
  <c r="F509" i="1"/>
  <c r="F493" i="1"/>
  <c r="F477" i="1"/>
  <c r="F461" i="1"/>
  <c r="F445" i="1"/>
  <c r="F429" i="1"/>
  <c r="F413" i="1"/>
  <c r="F397" i="1"/>
  <c r="F381" i="1"/>
  <c r="F365" i="1"/>
  <c r="F349" i="1"/>
  <c r="F333" i="1"/>
  <c r="F317" i="1"/>
  <c r="F301" i="1"/>
  <c r="F285" i="1"/>
  <c r="F269" i="1"/>
  <c r="F253" i="1"/>
  <c r="F237" i="1"/>
  <c r="F221" i="1"/>
  <c r="F205" i="1"/>
  <c r="F189" i="1"/>
  <c r="F173" i="1"/>
  <c r="F157" i="1"/>
  <c r="F141" i="1"/>
  <c r="F125" i="1"/>
  <c r="F109" i="1"/>
  <c r="F93" i="1"/>
  <c r="F77" i="1"/>
  <c r="F294" i="1"/>
  <c r="F70" i="1"/>
  <c r="F499" i="1"/>
  <c r="F275" i="1"/>
  <c r="F386" i="1"/>
  <c r="F210" i="1"/>
  <c r="F61" i="1"/>
  <c r="F483" i="1"/>
  <c r="F227" i="1"/>
  <c r="F402" i="1"/>
  <c r="F82" i="1"/>
  <c r="F540" i="1"/>
  <c r="F524" i="1"/>
  <c r="F508" i="1"/>
  <c r="F492" i="1"/>
  <c r="F476" i="1"/>
  <c r="F460" i="1"/>
  <c r="F444" i="1"/>
  <c r="F428" i="1"/>
  <c r="F412" i="1"/>
  <c r="F396" i="1"/>
  <c r="F380" i="1"/>
  <c r="F364" i="1"/>
  <c r="F348" i="1"/>
  <c r="F332" i="1"/>
  <c r="F316" i="1"/>
  <c r="F300" i="1"/>
  <c r="F284" i="1"/>
  <c r="F268" i="1"/>
  <c r="F252" i="1"/>
  <c r="F236" i="1"/>
  <c r="F220" i="1"/>
  <c r="F204" i="1"/>
  <c r="F188" i="1"/>
  <c r="F172" i="1"/>
  <c r="F156" i="1"/>
  <c r="F140" i="1"/>
  <c r="F124" i="1"/>
  <c r="F108" i="1"/>
  <c r="F92" i="1"/>
  <c r="F76" i="1"/>
  <c r="F60" i="1"/>
  <c r="F489" i="1"/>
  <c r="F345" i="1"/>
  <c r="F281" i="1"/>
  <c r="F217" i="1"/>
  <c r="F153" i="1"/>
  <c r="F89" i="1"/>
  <c r="F230" i="1"/>
  <c r="F54" i="1"/>
  <c r="F435" i="1"/>
  <c r="F259" i="1"/>
  <c r="F466" i="1"/>
  <c r="F178" i="1"/>
  <c r="F539" i="1"/>
  <c r="F523" i="1"/>
  <c r="F507" i="1"/>
  <c r="F491" i="1"/>
  <c r="F475" i="1"/>
  <c r="F459" i="1"/>
  <c r="F443" i="1"/>
  <c r="F427" i="1"/>
  <c r="F411" i="1"/>
  <c r="F395" i="1"/>
  <c r="F379" i="1"/>
  <c r="F363" i="1"/>
  <c r="F347" i="1"/>
  <c r="F331" i="1"/>
  <c r="F315" i="1"/>
  <c r="F299" i="1"/>
  <c r="F283" i="1"/>
  <c r="F267" i="1"/>
  <c r="F251" i="1"/>
  <c r="F235" i="1"/>
  <c r="F219" i="1"/>
  <c r="F203" i="1"/>
  <c r="F187" i="1"/>
  <c r="F171" i="1"/>
  <c r="F155" i="1"/>
  <c r="F139" i="1"/>
  <c r="F123" i="1"/>
  <c r="F107" i="1"/>
  <c r="F91" i="1"/>
  <c r="F75" i="1"/>
  <c r="F59" i="1"/>
  <c r="F298" i="1"/>
  <c r="F218" i="1"/>
  <c r="F186" i="1"/>
  <c r="F154" i="1"/>
  <c r="F122" i="1"/>
  <c r="F90" i="1"/>
  <c r="F74" i="1"/>
  <c r="F521" i="1"/>
  <c r="F441" i="1"/>
  <c r="F393" i="1"/>
  <c r="F329" i="1"/>
  <c r="F249" i="1"/>
  <c r="F169" i="1"/>
  <c r="F105" i="1"/>
  <c r="F198" i="1"/>
  <c r="F118" i="1"/>
  <c r="F467" i="1"/>
  <c r="F291" i="1"/>
  <c r="F338" i="1"/>
  <c r="F242" i="1"/>
  <c r="F146" i="1"/>
  <c r="F538" i="1"/>
  <c r="F522" i="1"/>
  <c r="F506" i="1"/>
  <c r="F490" i="1"/>
  <c r="F474" i="1"/>
  <c r="F458" i="1"/>
  <c r="F442" i="1"/>
  <c r="F426" i="1"/>
  <c r="F410" i="1"/>
  <c r="F394" i="1"/>
  <c r="F378" i="1"/>
  <c r="F362" i="1"/>
  <c r="F346" i="1"/>
  <c r="F330" i="1"/>
  <c r="F314" i="1"/>
  <c r="F282" i="1"/>
  <c r="F266" i="1"/>
  <c r="F250" i="1"/>
  <c r="F234" i="1"/>
  <c r="F202" i="1"/>
  <c r="F170" i="1"/>
  <c r="F138" i="1"/>
  <c r="F106" i="1"/>
  <c r="F58" i="1"/>
  <c r="F505" i="1"/>
  <c r="F457" i="1"/>
  <c r="F409" i="1"/>
  <c r="F361" i="1"/>
  <c r="F313" i="1"/>
  <c r="F265" i="1"/>
  <c r="F201" i="1"/>
  <c r="F137" i="1"/>
  <c r="F73" i="1"/>
  <c r="F166" i="1"/>
  <c r="F50" i="1"/>
  <c r="F537" i="1"/>
  <c r="F473" i="1"/>
  <c r="F425" i="1"/>
  <c r="F377" i="1"/>
  <c r="F297" i="1"/>
  <c r="F233" i="1"/>
  <c r="F185" i="1"/>
  <c r="F121" i="1"/>
  <c r="F57" i="1"/>
  <c r="F182" i="1"/>
  <c r="F451" i="1"/>
  <c r="F243" i="1"/>
  <c r="F418" i="1"/>
  <c r="F114" i="1"/>
  <c r="F536" i="1"/>
  <c r="F520" i="1"/>
  <c r="F504" i="1"/>
  <c r="F488" i="1"/>
  <c r="F472" i="1"/>
  <c r="F456" i="1"/>
  <c r="F440" i="1"/>
  <c r="F424" i="1"/>
  <c r="F408" i="1"/>
  <c r="F392" i="1"/>
  <c r="F376" i="1"/>
  <c r="F360" i="1"/>
  <c r="F344" i="1"/>
  <c r="F328" i="1"/>
  <c r="F312" i="1"/>
  <c r="F296" i="1"/>
  <c r="F280" i="1"/>
  <c r="F264" i="1"/>
  <c r="F248" i="1"/>
  <c r="F232" i="1"/>
  <c r="F216" i="1"/>
  <c r="F200" i="1"/>
  <c r="F184" i="1"/>
  <c r="F168" i="1"/>
  <c r="F152" i="1"/>
  <c r="F136" i="1"/>
  <c r="F120" i="1"/>
  <c r="F104" i="1"/>
  <c r="F88" i="1"/>
  <c r="F72" i="1"/>
  <c r="F56" i="1"/>
  <c r="F247" i="1"/>
  <c r="F199" i="1"/>
  <c r="F151" i="1"/>
  <c r="F119" i="1"/>
  <c r="F87" i="1"/>
  <c r="F55" i="1"/>
  <c r="F262" i="1"/>
  <c r="F102" i="1"/>
  <c r="F387" i="1"/>
  <c r="F195" i="1"/>
  <c r="F51" i="1"/>
  <c r="F482" i="1"/>
  <c r="F274" i="1"/>
  <c r="F66" i="1"/>
  <c r="F535" i="1"/>
  <c r="F519" i="1"/>
  <c r="F503" i="1"/>
  <c r="F487" i="1"/>
  <c r="F471" i="1"/>
  <c r="F455" i="1"/>
  <c r="F439" i="1"/>
  <c r="F423" i="1"/>
  <c r="F407" i="1"/>
  <c r="F391" i="1"/>
  <c r="F375" i="1"/>
  <c r="F359" i="1"/>
  <c r="F343" i="1"/>
  <c r="F327" i="1"/>
  <c r="F311" i="1"/>
  <c r="F295" i="1"/>
  <c r="F279" i="1"/>
  <c r="F263" i="1"/>
  <c r="F231" i="1"/>
  <c r="F215" i="1"/>
  <c r="F183" i="1"/>
  <c r="F167" i="1"/>
  <c r="F135" i="1"/>
  <c r="F103" i="1"/>
  <c r="F71" i="1"/>
  <c r="F246" i="1"/>
  <c r="F339" i="1"/>
  <c r="F211" i="1"/>
  <c r="F99" i="1"/>
  <c r="F67" i="1"/>
  <c r="F514" i="1"/>
  <c r="F290" i="1"/>
  <c r="F534" i="1"/>
  <c r="F518" i="1"/>
  <c r="F502" i="1"/>
  <c r="F486" i="1"/>
  <c r="F470" i="1"/>
  <c r="F454" i="1"/>
  <c r="F438" i="1"/>
  <c r="F422" i="1"/>
  <c r="F406" i="1"/>
  <c r="F390" i="1"/>
  <c r="F374" i="1"/>
  <c r="F358" i="1"/>
  <c r="F342" i="1"/>
  <c r="F326" i="1"/>
  <c r="F310" i="1"/>
  <c r="F214" i="1"/>
  <c r="F150" i="1"/>
  <c r="F419" i="1"/>
  <c r="F115" i="1"/>
  <c r="F322" i="1"/>
  <c r="F533" i="1"/>
  <c r="F517" i="1"/>
  <c r="F501" i="1"/>
  <c r="F485" i="1"/>
  <c r="F469" i="1"/>
  <c r="F453" i="1"/>
  <c r="F437" i="1"/>
  <c r="F421" i="1"/>
  <c r="F405" i="1"/>
  <c r="F389" i="1"/>
  <c r="F373" i="1"/>
  <c r="F357" i="1"/>
  <c r="F341" i="1"/>
  <c r="F325" i="1"/>
  <c r="F309" i="1"/>
  <c r="F293" i="1"/>
  <c r="F277" i="1"/>
  <c r="F261" i="1"/>
  <c r="F245" i="1"/>
  <c r="F229" i="1"/>
  <c r="F213" i="1"/>
  <c r="F197" i="1"/>
  <c r="F181" i="1"/>
  <c r="F165" i="1"/>
  <c r="F149" i="1"/>
  <c r="F133" i="1"/>
  <c r="F117" i="1"/>
  <c r="F101" i="1"/>
  <c r="F85" i="1"/>
  <c r="F69" i="1"/>
  <c r="F53" i="1"/>
  <c r="F68" i="1"/>
  <c r="F531" i="1"/>
  <c r="F179" i="1"/>
  <c r="F450" i="1"/>
  <c r="F194" i="1"/>
  <c r="F532" i="1"/>
  <c r="F516" i="1"/>
  <c r="F500" i="1"/>
  <c r="F484" i="1"/>
  <c r="F468" i="1"/>
  <c r="F452" i="1"/>
  <c r="F436" i="1"/>
  <c r="F420" i="1"/>
  <c r="F404" i="1"/>
  <c r="F388" i="1"/>
  <c r="F372" i="1"/>
  <c r="F356" i="1"/>
  <c r="F340" i="1"/>
  <c r="F324" i="1"/>
  <c r="F308" i="1"/>
  <c r="F292" i="1"/>
  <c r="F276" i="1"/>
  <c r="F260" i="1"/>
  <c r="F244" i="1"/>
  <c r="F228" i="1"/>
  <c r="F212" i="1"/>
  <c r="F196" i="1"/>
  <c r="F180" i="1"/>
  <c r="F164" i="1"/>
  <c r="F148" i="1"/>
  <c r="F132" i="1"/>
  <c r="F116" i="1"/>
  <c r="F100" i="1"/>
  <c r="F84" i="1"/>
  <c r="F52" i="1"/>
  <c r="F515" i="1"/>
  <c r="F323" i="1"/>
  <c r="F354" i="1"/>
  <c r="F162" i="1"/>
  <c r="U6" i="1"/>
  <c r="M19" i="1"/>
</calcChain>
</file>

<file path=xl/sharedStrings.xml><?xml version="1.0" encoding="utf-8"?>
<sst xmlns="http://schemas.openxmlformats.org/spreadsheetml/2006/main" count="5310" uniqueCount="1223">
  <si>
    <t>From</t>
  </si>
  <si>
    <t>CodeFrom</t>
  </si>
  <si>
    <t>To</t>
  </si>
  <si>
    <t>CodeTo</t>
  </si>
  <si>
    <t>Days</t>
  </si>
  <si>
    <t>Leave</t>
  </si>
  <si>
    <t>Arrive</t>
  </si>
  <si>
    <t>Flight</t>
  </si>
  <si>
    <t>Stops</t>
  </si>
  <si>
    <t>Effective</t>
  </si>
  <si>
    <t>Discontinued</t>
  </si>
  <si>
    <t>Suspension Start</t>
  </si>
  <si>
    <t>Suspension End</t>
  </si>
  <si>
    <t>Notes</t>
  </si>
  <si>
    <t>Column1</t>
  </si>
  <si>
    <t>Leave_24hr</t>
  </si>
  <si>
    <t>Arrive_24hr</t>
  </si>
  <si>
    <t>Albany, NY</t>
  </si>
  <si>
    <t>Antigua</t>
  </si>
  <si>
    <t>Atlanta</t>
  </si>
  <si>
    <t>Auckland</t>
  </si>
  <si>
    <t>Austin</t>
  </si>
  <si>
    <t>Barbados</t>
  </si>
  <si>
    <t>Beijing</t>
  </si>
  <si>
    <t>Berlin</t>
  </si>
  <si>
    <t>Bermuda</t>
  </si>
  <si>
    <t>Bombay</t>
  </si>
  <si>
    <t>Brussels</t>
  </si>
  <si>
    <t>Budapest</t>
  </si>
  <si>
    <t>Buenos Aires</t>
  </si>
  <si>
    <t>Buffalo</t>
  </si>
  <si>
    <t>Caracas</t>
  </si>
  <si>
    <t>Charlotte</t>
  </si>
  <si>
    <t>Chicago</t>
  </si>
  <si>
    <t>Cincinnati</t>
  </si>
  <si>
    <t>Cleveland</t>
  </si>
  <si>
    <t>Dakar</t>
  </si>
  <si>
    <t>Dallas</t>
  </si>
  <si>
    <t>Delhi</t>
  </si>
  <si>
    <t>Detroit, MI</t>
  </si>
  <si>
    <t>Dhahran</t>
  </si>
  <si>
    <t>Dubai</t>
  </si>
  <si>
    <t>Dubrovnik</t>
  </si>
  <si>
    <t>Fort De France</t>
  </si>
  <si>
    <t>Fort Myers, FL</t>
  </si>
  <si>
    <t>Frankfurt</t>
  </si>
  <si>
    <t>Freeport</t>
  </si>
  <si>
    <t>Geneva</t>
  </si>
  <si>
    <t>Guatamala City</t>
  </si>
  <si>
    <t>Hamburg</t>
  </si>
  <si>
    <t>Hartford</t>
  </si>
  <si>
    <t>Hong Kong</t>
  </si>
  <si>
    <t>Honolulu, HI</t>
  </si>
  <si>
    <t>Houston, TX</t>
  </si>
  <si>
    <t>Indianapolis, IN</t>
  </si>
  <si>
    <t>Instanbul</t>
  </si>
  <si>
    <t>Johnnesburg</t>
  </si>
  <si>
    <t>Karachi</t>
  </si>
  <si>
    <t>Lagos</t>
  </si>
  <si>
    <t>London</t>
  </si>
  <si>
    <t>Los Angeles</t>
  </si>
  <si>
    <t>Manila</t>
  </si>
  <si>
    <t>Maracaibo</t>
  </si>
  <si>
    <t>Melbourne</t>
  </si>
  <si>
    <t>Mexico City</t>
  </si>
  <si>
    <t>Miami</t>
  </si>
  <si>
    <t>Miami, FL</t>
  </si>
  <si>
    <t>Monrovia</t>
  </si>
  <si>
    <t>Montevideo</t>
  </si>
  <si>
    <t>Munich</t>
  </si>
  <si>
    <t>Nashville</t>
  </si>
  <si>
    <t>Nassau</t>
  </si>
  <si>
    <t>New Orleans</t>
  </si>
  <si>
    <t>NYC (K)</t>
  </si>
  <si>
    <t>NYC(K)</t>
  </si>
  <si>
    <t>NYC(L)</t>
  </si>
  <si>
    <t>NYC(E)</t>
  </si>
  <si>
    <t>Nuremberg</t>
  </si>
  <si>
    <t>Orlando</t>
  </si>
  <si>
    <t>Osaka</t>
  </si>
  <si>
    <t>Paris</t>
  </si>
  <si>
    <t>Philadelphia</t>
  </si>
  <si>
    <t>Pittsburgh</t>
  </si>
  <si>
    <t>Pointe a Pitre</t>
  </si>
  <si>
    <t>Port Of Spain</t>
  </si>
  <si>
    <t>Providence RI</t>
  </si>
  <si>
    <t>Raleigh/Durham NC</t>
  </si>
  <si>
    <t>Rio De Janero</t>
  </si>
  <si>
    <t>Rochester</t>
  </si>
  <si>
    <t>St. Kitts</t>
  </si>
  <si>
    <t>St. Lucia</t>
  </si>
  <si>
    <t>St. Maarten</t>
  </si>
  <si>
    <t>San Antonio</t>
  </si>
  <si>
    <t>San Francisco</t>
  </si>
  <si>
    <t>Seattle</t>
  </si>
  <si>
    <t>Soul</t>
  </si>
  <si>
    <t>Shanghai</t>
  </si>
  <si>
    <t>Singapore</t>
  </si>
  <si>
    <t>Stuttgart</t>
  </si>
  <si>
    <t>Sydney</t>
  </si>
  <si>
    <t>Syracuse</t>
  </si>
  <si>
    <t>Taipei</t>
  </si>
  <si>
    <t>Tampa</t>
  </si>
  <si>
    <t>Tokyo</t>
  </si>
  <si>
    <t>Utica, NY</t>
  </si>
  <si>
    <t>DC (D)</t>
  </si>
  <si>
    <t xml:space="preserve">DC (D) </t>
  </si>
  <si>
    <t>DC (N)</t>
  </si>
  <si>
    <t>West Palm Beach</t>
  </si>
  <si>
    <t>Zagreb</t>
  </si>
  <si>
    <t>Zurich</t>
  </si>
  <si>
    <t>ALB</t>
  </si>
  <si>
    <t>ANU</t>
  </si>
  <si>
    <t>ATL</t>
  </si>
  <si>
    <t>AUC</t>
  </si>
  <si>
    <t>AKL</t>
  </si>
  <si>
    <t>AUS</t>
  </si>
  <si>
    <t>BGI</t>
  </si>
  <si>
    <t>PEK</t>
  </si>
  <si>
    <t>TXL</t>
  </si>
  <si>
    <t>BDA</t>
  </si>
  <si>
    <t>BOM</t>
  </si>
  <si>
    <t>BRU</t>
  </si>
  <si>
    <t>BUD</t>
  </si>
  <si>
    <t>EZE</t>
  </si>
  <si>
    <t>BUF</t>
  </si>
  <si>
    <t>CCS</t>
  </si>
  <si>
    <t>CLT</t>
  </si>
  <si>
    <t>ORD</t>
  </si>
  <si>
    <t>CVG</t>
  </si>
  <si>
    <t>CLE</t>
  </si>
  <si>
    <t>DKR</t>
  </si>
  <si>
    <t>DFW</t>
  </si>
  <si>
    <t>DEL</t>
  </si>
  <si>
    <t>DTW</t>
  </si>
  <si>
    <t>DHA</t>
  </si>
  <si>
    <t>DBX</t>
  </si>
  <si>
    <t>DBV</t>
  </si>
  <si>
    <t>FDF</t>
  </si>
  <si>
    <t>RSW</t>
  </si>
  <si>
    <t>FRA</t>
  </si>
  <si>
    <t>FRE</t>
  </si>
  <si>
    <t>GEN</t>
  </si>
  <si>
    <t>GUA</t>
  </si>
  <si>
    <t>HAM</t>
  </si>
  <si>
    <t>BDL</t>
  </si>
  <si>
    <t>HKG</t>
  </si>
  <si>
    <t>HNL</t>
  </si>
  <si>
    <t>IAH</t>
  </si>
  <si>
    <t>IND</t>
  </si>
  <si>
    <t>IST</t>
  </si>
  <si>
    <t>JNB</t>
  </si>
  <si>
    <t>KHI</t>
  </si>
  <si>
    <t>LOS</t>
  </si>
  <si>
    <t>LHR</t>
  </si>
  <si>
    <t>LAX</t>
  </si>
  <si>
    <t>MNL</t>
  </si>
  <si>
    <t>MAR</t>
  </si>
  <si>
    <t>MEL</t>
  </si>
  <si>
    <t>MEX</t>
  </si>
  <si>
    <t>MIA</t>
  </si>
  <si>
    <t>ROB</t>
  </si>
  <si>
    <t>MVD</t>
  </si>
  <si>
    <t>MUN</t>
  </si>
  <si>
    <t>BNA</t>
  </si>
  <si>
    <t>NAS</t>
  </si>
  <si>
    <t>MSY</t>
  </si>
  <si>
    <t>MYS</t>
  </si>
  <si>
    <t>JFK</t>
  </si>
  <si>
    <t>LGA</t>
  </si>
  <si>
    <t>EWR</t>
  </si>
  <si>
    <t>NUE</t>
  </si>
  <si>
    <t>MCO</t>
  </si>
  <si>
    <t>ITM</t>
  </si>
  <si>
    <t>ORY</t>
  </si>
  <si>
    <t>PHL</t>
  </si>
  <si>
    <t>PIT</t>
  </si>
  <si>
    <t>PTP</t>
  </si>
  <si>
    <t>POS</t>
  </si>
  <si>
    <t>PVD</t>
  </si>
  <si>
    <t>RDU</t>
  </si>
  <si>
    <t>GIG</t>
  </si>
  <si>
    <t>ROC</t>
  </si>
  <si>
    <t>SKB</t>
  </si>
  <si>
    <t>SXM</t>
  </si>
  <si>
    <t>SAT</t>
  </si>
  <si>
    <t>SFO</t>
  </si>
  <si>
    <t>SEA</t>
  </si>
  <si>
    <t>ICN</t>
  </si>
  <si>
    <t>SHA</t>
  </si>
  <si>
    <t>SIN</t>
  </si>
  <si>
    <t>STR</t>
  </si>
  <si>
    <t>SYD</t>
  </si>
  <si>
    <t>SYR</t>
  </si>
  <si>
    <t>TPE</t>
  </si>
  <si>
    <t>TPA</t>
  </si>
  <si>
    <t>NRT</t>
  </si>
  <si>
    <t>RME</t>
  </si>
  <si>
    <t>IAD</t>
  </si>
  <si>
    <t>DCA</t>
  </si>
  <si>
    <t>PBI</t>
  </si>
  <si>
    <t>ZAG</t>
  </si>
  <si>
    <t>ZUR</t>
  </si>
  <si>
    <t>ZRH</t>
  </si>
  <si>
    <t>New York, NY - JFK Int’l (K)</t>
  </si>
  <si>
    <t>Port of Spain</t>
  </si>
  <si>
    <t>Los Angeles, CA</t>
  </si>
  <si>
    <t>Melbourne Tullamarine</t>
  </si>
  <si>
    <t>Dallas/Ft. Worth, TX</t>
  </si>
  <si>
    <t>New York, NY/Newark, NJ (K)</t>
  </si>
  <si>
    <t>Tokyo, Narita</t>
  </si>
  <si>
    <t>London Heathrow</t>
  </si>
  <si>
    <t>Rio de Janeiro</t>
  </si>
  <si>
    <t>Washington, DC (D)</t>
  </si>
  <si>
    <t>Minneapolis/St. Paul, MN</t>
  </si>
  <si>
    <t>San Francisco, CA</t>
  </si>
  <si>
    <t>Pittsburgh, PA</t>
  </si>
  <si>
    <t>Nashville, TN</t>
  </si>
  <si>
    <t>New York, NY/Newark, NJ</t>
  </si>
  <si>
    <t>MONROVIA</t>
  </si>
  <si>
    <t>NEW YORK/NJ</t>
  </si>
  <si>
    <t>AUSTIN, TX</t>
  </si>
  <si>
    <t>MIAMI, FL</t>
  </si>
  <si>
    <t>NEW YORK, NY/NEWARK, NJ</t>
  </si>
  <si>
    <t>SAN FRANCISCO, CA</t>
  </si>
  <si>
    <t>TOKYO Narita</t>
  </si>
  <si>
    <t>Indianapolis</t>
  </si>
  <si>
    <t>NEW YORK, NY/NEWARK, NJ (K)</t>
  </si>
  <si>
    <t>ORLANDO, FL</t>
  </si>
  <si>
    <t>TAMPA/ST. PETE, FL</t>
  </si>
  <si>
    <t>DELHI</t>
  </si>
  <si>
    <t>ISTANBUL</t>
  </si>
  <si>
    <t>ZURICH</t>
  </si>
  <si>
    <t>MEXICO CITY</t>
  </si>
  <si>
    <t>BERLIN</t>
  </si>
  <si>
    <t>LONDON OT Heathrow</t>
  </si>
  <si>
    <t>SINGAPORE</t>
  </si>
  <si>
    <t>TOKYO (Narita)</t>
  </si>
  <si>
    <t>LOS ANGELES, CA</t>
  </si>
  <si>
    <t>OSAKA</t>
  </si>
  <si>
    <t>SYDNEY</t>
  </si>
  <si>
    <t>NEW ORLEANS, LA</t>
  </si>
  <si>
    <t>DETROIT, MI Metropolitan</t>
  </si>
  <si>
    <t>GENEVA</t>
  </si>
  <si>
    <t>MONROVIA Roberts International</t>
  </si>
  <si>
    <t>ST. LOUIS, MO</t>
  </si>
  <si>
    <t>FRANKFURT</t>
  </si>
  <si>
    <t>NAIROBI Jomo Kenyatta International</t>
  </si>
  <si>
    <t>BRUSSELS</t>
  </si>
  <si>
    <t>New York, NY/Newark, NJ (K-JFK)</t>
  </si>
  <si>
    <t>SEATTLE/TACOMA, WA</t>
  </si>
  <si>
    <t>HONOLULU, HI</t>
  </si>
  <si>
    <t>HOUSTON, TX Intercontinental</t>
  </si>
  <si>
    <t>TOKYO</t>
  </si>
  <si>
    <t>AUCKLAND</t>
  </si>
  <si>
    <t>GUATEMALA CITY</t>
  </si>
  <si>
    <t>ANTIGUA</t>
  </si>
  <si>
    <t>ATLANTA, GA</t>
  </si>
  <si>
    <t>BARBADOS</t>
  </si>
  <si>
    <t>Buenos Aires, Ezeiza</t>
  </si>
  <si>
    <t>Guatemala City</t>
  </si>
  <si>
    <t>Houston, TX Intercontinental</t>
  </si>
  <si>
    <t>London, Heathrow</t>
  </si>
  <si>
    <t>Memphis, TN</t>
  </si>
  <si>
    <t>New Orleans, LA</t>
  </si>
  <si>
    <t>New York, NY/Newark, NJ (E)</t>
  </si>
  <si>
    <t>New York, NY/Newark, NJ (L)</t>
  </si>
  <si>
    <t>Orlando, FL</t>
  </si>
  <si>
    <t>Tampa/St. Pete, FL</t>
  </si>
  <si>
    <t>Washington, D.C. (National Airport)</t>
  </si>
  <si>
    <t>Chicago, IL (O'Hare)</t>
  </si>
  <si>
    <t>Johannesburg (Jan Smuts)</t>
  </si>
  <si>
    <t>New York, NY/Newark, NJ (K-JFK Int'l)</t>
  </si>
  <si>
    <t>Buenos Aires Ezeiza</t>
  </si>
  <si>
    <t>Cleveland, OH</t>
  </si>
  <si>
    <t>New York, NY/Newark, NJ (K-JFK Int’l L-LaGuardia E-Newark)</t>
  </si>
  <si>
    <t>San Antonio, TX</t>
  </si>
  <si>
    <t>Atlanta, GA</t>
  </si>
  <si>
    <t>Boston, MA</t>
  </si>
  <si>
    <t>HARTFORD, CT/SPRINGFIELD, MA</t>
  </si>
  <si>
    <t>ITHACA, NY</t>
  </si>
  <si>
    <t>MUNICH</t>
  </si>
  <si>
    <t>NASSAU</t>
  </si>
  <si>
    <t>PARIS Orly</t>
  </si>
  <si>
    <t>PHILADELPHIA, PA</t>
  </si>
  <si>
    <t>PITTSBURGH, PA</t>
  </si>
  <si>
    <t>POINTE A PITRE</t>
  </si>
  <si>
    <t>PROVIDENCE, RI</t>
  </si>
  <si>
    <t>RIO DE JANEIRO</t>
  </si>
  <si>
    <t>ROCHESTER, NY</t>
  </si>
  <si>
    <t>ROME Fiumicino</t>
  </si>
  <si>
    <t>ST. MAARTEN</t>
  </si>
  <si>
    <t>SYRACUSE, NY</t>
  </si>
  <si>
    <t>UTICA/ROME, NY</t>
  </si>
  <si>
    <t>WASHINGTON, DC National</t>
  </si>
  <si>
    <t>WASHINGTON, DC Dulles</t>
  </si>
  <si>
    <t>WEST PALM BEACH, FL</t>
  </si>
  <si>
    <t>FORT MYERS, FL</t>
  </si>
  <si>
    <t>SEOUL</t>
  </si>
  <si>
    <t>NEW YORK/NY Newark</t>
  </si>
  <si>
    <t>RALEIGH/DURHAM, NC</t>
  </si>
  <si>
    <t>CINCINNATI, OH</t>
  </si>
  <si>
    <t>FORT DE FRANCE</t>
  </si>
  <si>
    <t>BUENOS AIRES Ezeiza</t>
  </si>
  <si>
    <t>NEW YORK/NY Newark (K)</t>
  </si>
  <si>
    <t>PORT OF SPAIN</t>
  </si>
  <si>
    <t>HONG KONG</t>
  </si>
  <si>
    <t>SEATTLE/TACOMA, WA (Henry M. Jackson Int'l.)</t>
  </si>
  <si>
    <t>TOKYO* Nara</t>
  </si>
  <si>
    <t>LONDON 0* Heathrow</t>
  </si>
  <si>
    <t>MELBOURNE-Tullamarine</t>
  </si>
  <si>
    <t>WASHINGTON, DC (D-Dulles)</t>
  </si>
  <si>
    <t>BEIJING (PEKING)</t>
  </si>
  <si>
    <t>MANILA</t>
  </si>
  <si>
    <t>SHANGHAI</t>
  </si>
  <si>
    <t>TAIPEI</t>
  </si>
  <si>
    <t>CHARLOTTE, NC</t>
  </si>
  <si>
    <t>LONDON Heathrow</t>
  </si>
  <si>
    <t>NEW YORK, NY/NEWARK, NJ (L)</t>
  </si>
  <si>
    <t>NEW YORK, NY/NEWARK, NJ (E)</t>
  </si>
  <si>
    <t>WASHINGTON, DC (N-National)</t>
  </si>
  <si>
    <t>BUDAPEST</t>
  </si>
  <si>
    <t>DUBROVNIK</t>
  </si>
  <si>
    <t>STUTTGART</t>
  </si>
  <si>
    <t>DXB</t>
  </si>
  <si>
    <t>MSP</t>
  </si>
  <si>
    <t>OSA</t>
  </si>
  <si>
    <t>GVA</t>
  </si>
  <si>
    <t>STL</t>
  </si>
  <si>
    <t>NAI</t>
  </si>
  <si>
    <t>ANT</t>
  </si>
  <si>
    <t>MEM</t>
  </si>
  <si>
    <t>SKP</t>
  </si>
  <si>
    <t>DSS</t>
  </si>
  <si>
    <t>BOS</t>
  </si>
  <si>
    <t>ITH</t>
  </si>
  <si>
    <t>NEW</t>
  </si>
  <si>
    <t>FCO</t>
  </si>
  <si>
    <t>ExSaSu</t>
  </si>
  <si>
    <t>SaSu</t>
  </si>
  <si>
    <t>MoThSa</t>
  </si>
  <si>
    <t>Daily</t>
  </si>
  <si>
    <t>TuSa</t>
  </si>
  <si>
    <t>TuWeFr</t>
  </si>
  <si>
    <t>ExTuSa</t>
  </si>
  <si>
    <t>TuFrSu</t>
  </si>
  <si>
    <t>Fr</t>
  </si>
  <si>
    <t>ExSa</t>
  </si>
  <si>
    <t>ExSu</t>
  </si>
  <si>
    <t>Su</t>
  </si>
  <si>
    <t>Sa</t>
  </si>
  <si>
    <t>ExMoFr</t>
  </si>
  <si>
    <t>TuFr</t>
  </si>
  <si>
    <t>ThSa</t>
  </si>
  <si>
    <t>WeFrSu</t>
  </si>
  <si>
    <t>MoWeSaSu</t>
  </si>
  <si>
    <t>Tu</t>
  </si>
  <si>
    <t>Th</t>
  </si>
  <si>
    <t>MoWeSa</t>
  </si>
  <si>
    <t>WeThSu</t>
  </si>
  <si>
    <t>ThSu</t>
  </si>
  <si>
    <t>ExMoSu</t>
  </si>
  <si>
    <t>MoTh</t>
  </si>
  <si>
    <t>TuWe</t>
  </si>
  <si>
    <t>FrSu</t>
  </si>
  <si>
    <t>TuWeSa</t>
  </si>
  <si>
    <t>WeSa</t>
  </si>
  <si>
    <t>Mo</t>
  </si>
  <si>
    <t>TuFrSa</t>
  </si>
  <si>
    <t>MoSa</t>
  </si>
  <si>
    <t>We</t>
  </si>
  <si>
    <t>MoThSaSu</t>
  </si>
  <si>
    <t>MoSu</t>
  </si>
  <si>
    <t>ExMoTu</t>
  </si>
  <si>
    <t>WeFrSaSu</t>
  </si>
  <si>
    <t>MoTuTh</t>
  </si>
  <si>
    <t>MoWeFr</t>
  </si>
  <si>
    <t>MoFrSaSu</t>
  </si>
  <si>
    <t>WrSa</t>
  </si>
  <si>
    <t>TuThSa</t>
  </si>
  <si>
    <t>ThFrSaSu</t>
  </si>
  <si>
    <t>Wednesday</t>
  </si>
  <si>
    <t>Mo, Th, Fr</t>
  </si>
  <si>
    <t>Mo, Th</t>
  </si>
  <si>
    <t>Tuesday</t>
  </si>
  <si>
    <t>We, Sa, Su</t>
  </si>
  <si>
    <t>We, Sa</t>
  </si>
  <si>
    <t>Th, Sa</t>
  </si>
  <si>
    <t>Ex Sa Su</t>
  </si>
  <si>
    <t>We Fr</t>
  </si>
  <si>
    <t>TuTh</t>
  </si>
  <si>
    <t>Mo/Tu/Th/Sa</t>
  </si>
  <si>
    <t>MoFrSaSu K</t>
  </si>
  <si>
    <t>Daily K</t>
  </si>
  <si>
    <t>ExSaSu K</t>
  </si>
  <si>
    <t>WeSu</t>
  </si>
  <si>
    <t>FrSa</t>
  </si>
  <si>
    <t>ExTu</t>
  </si>
  <si>
    <t>ExTuSu</t>
  </si>
  <si>
    <t>Da»</t>
  </si>
  <si>
    <t>WeFr</t>
  </si>
  <si>
    <t>MoWe</t>
  </si>
  <si>
    <t>TuWeThFr</t>
  </si>
  <si>
    <t>TuThSu</t>
  </si>
  <si>
    <t>TuWeThSe</t>
  </si>
  <si>
    <t>TuSu</t>
  </si>
  <si>
    <t>WeThSuN</t>
  </si>
  <si>
    <t>TuWeThSu</t>
  </si>
  <si>
    <t>2:00p</t>
  </si>
  <si>
    <t>3:15p</t>
  </si>
  <si>
    <t>8:00p</t>
  </si>
  <si>
    <t>9:00p</t>
  </si>
  <si>
    <t>5:45p</t>
  </si>
  <si>
    <t>1:50p</t>
  </si>
  <si>
    <t>8:30a</t>
  </si>
  <si>
    <t>1:30p</t>
  </si>
  <si>
    <t>6:55p</t>
  </si>
  <si>
    <t>8:10a</t>
  </si>
  <si>
    <t>1:25p</t>
  </si>
  <si>
    <t>4:30p</t>
  </si>
  <si>
    <t>6:00p</t>
  </si>
  <si>
    <t>7:50p</t>
  </si>
  <si>
    <t>6:30a</t>
  </si>
  <si>
    <t>7:25a</t>
  </si>
  <si>
    <t>9:00a</t>
  </si>
  <si>
    <t>11:25a</t>
  </si>
  <si>
    <t>8:20a</t>
  </si>
  <si>
    <t>10:00a</t>
  </si>
  <si>
    <t>3:35p</t>
  </si>
  <si>
    <t>6:05p</t>
  </si>
  <si>
    <t>9:20a</t>
  </si>
  <si>
    <t>6:20a</t>
  </si>
  <si>
    <t>7:15a</t>
  </si>
  <si>
    <t>9:10a</t>
  </si>
  <si>
    <t>10:15a</t>
  </si>
  <si>
    <t>11:30a</t>
  </si>
  <si>
    <t>1:35p</t>
  </si>
  <si>
    <t>2:35p</t>
  </si>
  <si>
    <t>4:35p</t>
  </si>
  <si>
    <t>5:35p</t>
  </si>
  <si>
    <t>6:30p</t>
  </si>
  <si>
    <t>7:55p</t>
  </si>
  <si>
    <t>6:50a</t>
  </si>
  <si>
    <t>7:40a</t>
  </si>
  <si>
    <t>9:50a</t>
  </si>
  <si>
    <t>1:00p</t>
  </si>
  <si>
    <t>5:20p</t>
  </si>
  <si>
    <t>8:35p</t>
  </si>
  <si>
    <t>7:00a</t>
  </si>
  <si>
    <t>9:25a</t>
  </si>
  <si>
    <t>12:50p</t>
  </si>
  <si>
    <t>3:40p</t>
  </si>
  <si>
    <t>6:10p</t>
  </si>
  <si>
    <t>7:30p</t>
  </si>
  <si>
    <t>9:05a</t>
  </si>
  <si>
    <t>12:05p</t>
  </si>
  <si>
    <t>7:15p</t>
  </si>
  <si>
    <t>7:10a</t>
  </si>
  <si>
    <t>8:00a</t>
  </si>
  <si>
    <t>12:10p</t>
  </si>
  <si>
    <t>2:10p</t>
  </si>
  <si>
    <t>6:15p</t>
  </si>
  <si>
    <t>2:45p</t>
  </si>
  <si>
    <t>4:05a</t>
  </si>
  <si>
    <t>7:30a</t>
  </si>
  <si>
    <t>1:15p</t>
  </si>
  <si>
    <t>9:15a</t>
  </si>
  <si>
    <t>10:05p</t>
  </si>
  <si>
    <t>12:20p</t>
  </si>
  <si>
    <t>8:10p</t>
  </si>
  <si>
    <t>8:15a</t>
  </si>
  <si>
    <t>6:45p</t>
  </si>
  <si>
    <t>12:40p</t>
  </si>
  <si>
    <t>8:45p</t>
  </si>
  <si>
    <t>6:05a</t>
  </si>
  <si>
    <t>2:30p</t>
  </si>
  <si>
    <t>10:35a</t>
  </si>
  <si>
    <t>1:55a</t>
  </si>
  <si>
    <t>12:55p</t>
  </si>
  <si>
    <t>9:55a</t>
  </si>
  <si>
    <t>5:25a</t>
  </si>
  <si>
    <t>3:45a</t>
  </si>
  <si>
    <t>705p</t>
  </si>
  <si>
    <t>700a</t>
  </si>
  <si>
    <t>400p</t>
  </si>
  <si>
    <t>1159p</t>
  </si>
  <si>
    <t>1005p</t>
  </si>
  <si>
    <t>635a</t>
  </si>
  <si>
    <t>850a</t>
  </si>
  <si>
    <t>825a</t>
  </si>
  <si>
    <t>545p</t>
  </si>
  <si>
    <t>900a</t>
  </si>
  <si>
    <t>200p</t>
  </si>
  <si>
    <t>705a</t>
  </si>
  <si>
    <t>745a</t>
  </si>
  <si>
    <t>755a</t>
  </si>
  <si>
    <t>845a</t>
  </si>
  <si>
    <t>1000a</t>
  </si>
  <si>
    <t>1040a</t>
  </si>
  <si>
    <t>1200n</t>
  </si>
  <si>
    <t>150p</t>
  </si>
  <si>
    <t>305p</t>
  </si>
  <si>
    <t>405p</t>
  </si>
  <si>
    <t>505p</t>
  </si>
  <si>
    <t>605p</t>
  </si>
  <si>
    <t>935p</t>
  </si>
  <si>
    <t>1240p</t>
  </si>
  <si>
    <t>800a</t>
  </si>
  <si>
    <t>120p</t>
  </si>
  <si>
    <t>455p</t>
  </si>
  <si>
    <t>1220p</t>
  </si>
  <si>
    <t>940a</t>
  </si>
  <si>
    <t>540a</t>
  </si>
  <si>
    <t>1105a</t>
  </si>
  <si>
    <t>230p</t>
  </si>
  <si>
    <t>430p</t>
  </si>
  <si>
    <t>635p</t>
  </si>
  <si>
    <t>830p</t>
  </si>
  <si>
    <t>1130a</t>
  </si>
  <si>
    <t>715a</t>
  </si>
  <si>
    <t>115p</t>
  </si>
  <si>
    <t>340p</t>
  </si>
  <si>
    <t>1245p</t>
  </si>
  <si>
    <t>855p</t>
  </si>
  <si>
    <t>1155a</t>
  </si>
  <si>
    <t>830a</t>
  </si>
  <si>
    <t>1045p</t>
  </si>
  <si>
    <t>100a</t>
  </si>
  <si>
    <t>745p</t>
  </si>
  <si>
    <t>1000p</t>
  </si>
  <si>
    <t>600p</t>
  </si>
  <si>
    <t>645p</t>
  </si>
  <si>
    <t>420p</t>
  </si>
  <si>
    <t>730p</t>
  </si>
  <si>
    <t>1235p</t>
  </si>
  <si>
    <t>1230a</t>
  </si>
  <si>
    <t>615a</t>
  </si>
  <si>
    <t>620p</t>
  </si>
  <si>
    <t>1030a</t>
  </si>
  <si>
    <t>840a</t>
  </si>
  <si>
    <t>415p</t>
  </si>
  <si>
    <t>1010a</t>
  </si>
  <si>
    <t>1100a</t>
  </si>
  <si>
    <t>700p</t>
  </si>
  <si>
    <t>1115a</t>
  </si>
  <si>
    <t>845p</t>
  </si>
  <si>
    <t>145p</t>
  </si>
  <si>
    <t>130p</t>
  </si>
  <si>
    <t>300p</t>
  </si>
  <si>
    <t>1020p</t>
  </si>
  <si>
    <t>1125a</t>
  </si>
  <si>
    <t>1145a</t>
  </si>
  <si>
    <t>610p</t>
  </si>
  <si>
    <t>1020a</t>
  </si>
  <si>
    <t>330p</t>
  </si>
  <si>
    <t>20 Op</t>
  </si>
  <si>
    <t>140p</t>
  </si>
  <si>
    <t>500p</t>
  </si>
  <si>
    <t>10:45p</t>
  </si>
  <si>
    <t>11:59p</t>
  </si>
  <si>
    <t>7:50a</t>
  </si>
  <si>
    <t>1:55p</t>
  </si>
  <si>
    <t>1:40p</t>
  </si>
  <si>
    <t>12:00p</t>
  </si>
  <si>
    <t>5:00p</t>
  </si>
  <si>
    <t>7:45a</t>
  </si>
  <si>
    <t>210p</t>
  </si>
  <si>
    <t>530p</t>
  </si>
  <si>
    <t>11:00a</t>
  </si>
  <si>
    <t>1:45p</t>
  </si>
  <si>
    <t>3:00p</t>
  </si>
  <si>
    <t>4:00p</t>
  </si>
  <si>
    <t>7:00p</t>
  </si>
  <si>
    <t>10:30p</t>
  </si>
  <si>
    <t>730a</t>
  </si>
  <si>
    <t>930a</t>
  </si>
  <si>
    <t>1230p</t>
  </si>
  <si>
    <t>630p</t>
  </si>
  <si>
    <t>155p</t>
  </si>
  <si>
    <t>23:10:00</t>
  </si>
  <si>
    <t>09:50:00</t>
  </si>
  <si>
    <t>13:45:00</t>
  </si>
  <si>
    <t>01:45:00</t>
  </si>
  <si>
    <t>16:15:00</t>
  </si>
  <si>
    <t>08:05:00</t>
  </si>
  <si>
    <t>08:50:00</t>
  </si>
  <si>
    <t>11:10:00</t>
  </si>
  <si>
    <t>14:40:00</t>
  </si>
  <si>
    <t>17:30:00</t>
  </si>
  <si>
    <t>20:00:00</t>
  </si>
  <si>
    <t>21:15:00</t>
  </si>
  <si>
    <t>11:40:00</t>
  </si>
  <si>
    <t>12:00:00</t>
  </si>
  <si>
    <t>11:30:00</t>
  </si>
  <si>
    <t>16:30:00</t>
  </si>
  <si>
    <t>07:30:00</t>
  </si>
  <si>
    <t>09:30:00</t>
  </si>
  <si>
    <t>18:35:00</t>
  </si>
  <si>
    <t>21:00:00</t>
  </si>
  <si>
    <t>08:30:00</t>
  </si>
  <si>
    <t>18:50:00</t>
  </si>
  <si>
    <t>08:15:00</t>
  </si>
  <si>
    <t>16:00:00</t>
  </si>
  <si>
    <t>19:20:00</t>
  </si>
  <si>
    <t>10:30:00</t>
  </si>
  <si>
    <t>10:00:00</t>
  </si>
  <si>
    <t>13:50:00</t>
  </si>
  <si>
    <t>16:10:00</t>
  </si>
  <si>
    <t>20:45:00</t>
  </si>
  <si>
    <t>18:30:00</t>
  </si>
  <si>
    <t>21:45:00</t>
  </si>
  <si>
    <t>14:25:00</t>
  </si>
  <si>
    <t>17:55:00</t>
  </si>
  <si>
    <t>22:10:00</t>
  </si>
  <si>
    <t>09:00:00</t>
  </si>
  <si>
    <t>15:10:00</t>
  </si>
  <si>
    <t>22:20:00</t>
  </si>
  <si>
    <t>12:30:00</t>
  </si>
  <si>
    <t>17:00:00</t>
  </si>
  <si>
    <t>17:10:00</t>
  </si>
  <si>
    <t>18:00:00</t>
  </si>
  <si>
    <t>19:45:00</t>
  </si>
  <si>
    <t>20:15:00</t>
  </si>
  <si>
    <t>18:25:00</t>
  </si>
  <si>
    <t>09:45:00</t>
  </si>
  <si>
    <t>12:05:00</t>
  </si>
  <si>
    <t>13:00:00</t>
  </si>
  <si>
    <t>16:40:00</t>
  </si>
  <si>
    <t>18:45:00</t>
  </si>
  <si>
    <t>17:05:00</t>
  </si>
  <si>
    <t>20:35:00</t>
  </si>
  <si>
    <t>18:20:00</t>
  </si>
  <si>
    <t>22:15:00</t>
  </si>
  <si>
    <t>08:40:00</t>
  </si>
  <si>
    <t>15:30:00</t>
  </si>
  <si>
    <t>08:55:00</t>
  </si>
  <si>
    <t>18:40:00</t>
  </si>
  <si>
    <t>22:05:00</t>
  </si>
  <si>
    <t>15:15:00</t>
  </si>
  <si>
    <t>16:50:00</t>
  </si>
  <si>
    <t>17:25:00</t>
  </si>
  <si>
    <t>17:50:00</t>
  </si>
  <si>
    <t>20:30:00</t>
  </si>
  <si>
    <t>13:30:00</t>
  </si>
  <si>
    <t>13:35:00</t>
  </si>
  <si>
    <t>16:05:00</t>
  </si>
  <si>
    <t>20:40:00</t>
  </si>
  <si>
    <t>12:10:00</t>
  </si>
  <si>
    <t>14:30:00</t>
  </si>
  <si>
    <t>19:30:00</t>
  </si>
  <si>
    <t>21:30:00</t>
  </si>
  <si>
    <t>13:55:00</t>
  </si>
  <si>
    <t>10:05:00</t>
  </si>
  <si>
    <t>19:40:00</t>
  </si>
  <si>
    <t>19:55:00</t>
  </si>
  <si>
    <t>08:10:00</t>
  </si>
  <si>
    <t>22:00:00</t>
  </si>
  <si>
    <t>14:55:00</t>
  </si>
  <si>
    <t>06:45:00</t>
  </si>
  <si>
    <t>16:20:00</t>
  </si>
  <si>
    <t>07:00:00</t>
  </si>
  <si>
    <t>08:20:00</t>
  </si>
  <si>
    <t>07:10:00</t>
  </si>
  <si>
    <t>13:40:00</t>
  </si>
  <si>
    <t>19:50:00</t>
  </si>
  <si>
    <t>15:00:00</t>
  </si>
  <si>
    <t>08:35:00</t>
  </si>
  <si>
    <t>07:05:00</t>
  </si>
  <si>
    <t>13:15:00</t>
  </si>
  <si>
    <t>17:40:00</t>
  </si>
  <si>
    <t>10:10:00</t>
  </si>
  <si>
    <t>14:15:00</t>
  </si>
  <si>
    <t>17:45:00</t>
  </si>
  <si>
    <t>20:20:00</t>
  </si>
  <si>
    <t>12:15:00</t>
  </si>
  <si>
    <t>07:20:00</t>
  </si>
  <si>
    <t>08:45:00</t>
  </si>
  <si>
    <t>09:35:00</t>
  </si>
  <si>
    <t>15:45:00</t>
  </si>
  <si>
    <t>07:55:00</t>
  </si>
  <si>
    <t>16:45:00</t>
  </si>
  <si>
    <t>07:35:00</t>
  </si>
  <si>
    <t>16:55:00</t>
  </si>
  <si>
    <t>20:10:00</t>
  </si>
  <si>
    <t>12:55:00</t>
  </si>
  <si>
    <t>08:00:00</t>
  </si>
  <si>
    <t>11:00:00</t>
  </si>
  <si>
    <t>14:00:00</t>
  </si>
  <si>
    <t>19:00:00</t>
  </si>
  <si>
    <t>15:05:00</t>
  </si>
  <si>
    <t>18:15:00</t>
  </si>
  <si>
    <t>14:05:00</t>
  </si>
  <si>
    <t>15:55:00</t>
  </si>
  <si>
    <t>17:20:00</t>
  </si>
  <si>
    <t>15:50:00</t>
  </si>
  <si>
    <t>09:40:00</t>
  </si>
  <si>
    <t>11:15:00</t>
  </si>
  <si>
    <t>11:05:00</t>
  </si>
  <si>
    <t>11:45:00</t>
  </si>
  <si>
    <t>9:45p</t>
  </si>
  <si>
    <t>7:05p</t>
  </si>
  <si>
    <t>2:25p</t>
  </si>
  <si>
    <t>10:10a</t>
  </si>
  <si>
    <t>6:35p</t>
  </si>
  <si>
    <t>3:24p</t>
  </si>
  <si>
    <t>8:15p</t>
  </si>
  <si>
    <t>6:00a</t>
  </si>
  <si>
    <t>12:15p</t>
  </si>
  <si>
    <t>11:55a</t>
  </si>
  <si>
    <t>7:20a</t>
  </si>
  <si>
    <t>9:30a</t>
  </si>
  <si>
    <t>11:15a</t>
  </si>
  <si>
    <t>12:30p</t>
  </si>
  <si>
    <t>8:55p</t>
  </si>
  <si>
    <t>7:35a</t>
  </si>
  <si>
    <t>8:25a</t>
  </si>
  <si>
    <t>7:40p</t>
  </si>
  <si>
    <t>9:20p</t>
  </si>
  <si>
    <t>10:45a</t>
  </si>
  <si>
    <t>8:50p</t>
  </si>
  <si>
    <t>10:05a</t>
  </si>
  <si>
    <t>1:05p</t>
  </si>
  <si>
    <t>1:20p</t>
  </si>
  <si>
    <t>3:20p</t>
  </si>
  <si>
    <t>7:25p</t>
  </si>
  <si>
    <t>4:10p</t>
  </si>
  <si>
    <t>2:55p</t>
  </si>
  <si>
    <t>5:20a</t>
  </si>
  <si>
    <t>7:38p</t>
  </si>
  <si>
    <t>2:05p</t>
  </si>
  <si>
    <t>2:15p</t>
  </si>
  <si>
    <t>10:25a</t>
  </si>
  <si>
    <t>3:05p</t>
  </si>
  <si>
    <t>9:15p</t>
  </si>
  <si>
    <t>11:20a</t>
  </si>
  <si>
    <t>9:50p</t>
  </si>
  <si>
    <t>2:02p</t>
  </si>
  <si>
    <t>10:10p</t>
  </si>
  <si>
    <t>8:59a</t>
  </si>
  <si>
    <t>11:24a</t>
  </si>
  <si>
    <t>2:20p</t>
  </si>
  <si>
    <t>3:58p</t>
  </si>
  <si>
    <t>5:40a</t>
  </si>
  <si>
    <t>11:38a</t>
  </si>
  <si>
    <t>5:10a</t>
  </si>
  <si>
    <t>835a</t>
  </si>
  <si>
    <t>540p</t>
  </si>
  <si>
    <t>625a</t>
  </si>
  <si>
    <t>220at</t>
  </si>
  <si>
    <t>1025a</t>
  </si>
  <si>
    <t>1045a</t>
  </si>
  <si>
    <t>1015p</t>
  </si>
  <si>
    <t>937a</t>
  </si>
  <si>
    <t>233p</t>
  </si>
  <si>
    <t>805a</t>
  </si>
  <si>
    <t>855a</t>
  </si>
  <si>
    <t>945a</t>
  </si>
  <si>
    <t>1140a</t>
  </si>
  <si>
    <t>100p</t>
  </si>
  <si>
    <t>250p</t>
  </si>
  <si>
    <t>805p</t>
  </si>
  <si>
    <t>1035p</t>
  </si>
  <si>
    <t>1255at</t>
  </si>
  <si>
    <t>1120p</t>
  </si>
  <si>
    <t>235p</t>
  </si>
  <si>
    <t>930p</t>
  </si>
  <si>
    <t>725p</t>
  </si>
  <si>
    <t>205p</t>
  </si>
  <si>
    <t>725a</t>
  </si>
  <si>
    <t>1225p</t>
  </si>
  <si>
    <t>310p</t>
  </si>
  <si>
    <t>510p</t>
  </si>
  <si>
    <t>715p</t>
  </si>
  <si>
    <t>910p</t>
  </si>
  <si>
    <t>1220at</t>
  </si>
  <si>
    <t>450p</t>
  </si>
  <si>
    <t>440p</t>
  </si>
  <si>
    <t>205pt</t>
  </si>
  <si>
    <t>634a</t>
  </si>
  <si>
    <t>655a</t>
  </si>
  <si>
    <t>225p</t>
  </si>
  <si>
    <t>859p</t>
  </si>
  <si>
    <t>1055p</t>
  </si>
  <si>
    <t>915p</t>
  </si>
  <si>
    <t>843p</t>
  </si>
  <si>
    <t>315p</t>
  </si>
  <si>
    <t>910a</t>
  </si>
  <si>
    <t>1225at</t>
  </si>
  <si>
    <t>125p</t>
  </si>
  <si>
    <t>250a</t>
  </si>
  <si>
    <t>940p</t>
  </si>
  <si>
    <t>120at</t>
  </si>
  <si>
    <t>220p</t>
  </si>
  <si>
    <t>1113p</t>
  </si>
  <si>
    <t>650p</t>
  </si>
  <si>
    <t>750a</t>
  </si>
  <si>
    <t>515p</t>
  </si>
  <si>
    <t>905p</t>
  </si>
  <si>
    <t>605a</t>
  </si>
  <si>
    <t>245p</t>
  </si>
  <si>
    <t>1135a</t>
  </si>
  <si>
    <t>105p</t>
  </si>
  <si>
    <t>320p</t>
  </si>
  <si>
    <t>800p</t>
  </si>
  <si>
    <t>825p</t>
  </si>
  <si>
    <t>1015a</t>
  </si>
  <si>
    <t>335p</t>
  </si>
  <si>
    <t>655p</t>
  </si>
  <si>
    <t>535p</t>
  </si>
  <si>
    <t>5:05p</t>
  </si>
  <si>
    <t>3:05a</t>
  </si>
  <si>
    <t>9:18a</t>
  </si>
  <si>
    <t>9:13a</t>
  </si>
  <si>
    <t>3:25p</t>
  </si>
  <si>
    <t>5:15p</t>
  </si>
  <si>
    <t>11:08a</t>
  </si>
  <si>
    <t>1108a</t>
  </si>
  <si>
    <t>1113a</t>
  </si>
  <si>
    <t>458p</t>
  </si>
  <si>
    <t>818p</t>
  </si>
  <si>
    <t>8:43a</t>
  </si>
  <si>
    <t>9:45a</t>
  </si>
  <si>
    <t>11:45a</t>
  </si>
  <si>
    <t>12:45p</t>
  </si>
  <si>
    <t>3:45p</t>
  </si>
  <si>
    <t>4:45p</t>
  </si>
  <si>
    <t>7:45p</t>
  </si>
  <si>
    <t>4:40p</t>
  </si>
  <si>
    <t>815a</t>
  </si>
  <si>
    <t>915a</t>
  </si>
  <si>
    <t>1215p</t>
  </si>
  <si>
    <t>215p</t>
  </si>
  <si>
    <t>615p</t>
  </si>
  <si>
    <t>815p</t>
  </si>
  <si>
    <t>359p</t>
  </si>
  <si>
    <t>901p</t>
  </si>
  <si>
    <t>01:00:00</t>
  </si>
  <si>
    <t>09:25:00</t>
  </si>
  <si>
    <t>21:20:00</t>
  </si>
  <si>
    <t>22:35:00</t>
  </si>
  <si>
    <t>13:05:00</t>
  </si>
  <si>
    <t>14:35:00</t>
  </si>
  <si>
    <t>12:25:00</t>
  </si>
  <si>
    <t>19:10:00</t>
  </si>
  <si>
    <t>19:15:00</t>
  </si>
  <si>
    <t>15:49:00</t>
  </si>
  <si>
    <t>22:30:00</t>
  </si>
  <si>
    <t>09:15:00</t>
  </si>
  <si>
    <t>15:25:00</t>
  </si>
  <si>
    <t>19:35:00</t>
  </si>
  <si>
    <t>13:20:00</t>
  </si>
  <si>
    <t>10:25:00</t>
  </si>
  <si>
    <t>14:10:00</t>
  </si>
  <si>
    <t>21:40:00</t>
  </si>
  <si>
    <t>09:10:00</t>
  </si>
  <si>
    <t>14:45:00</t>
  </si>
  <si>
    <t>7:40 AM +1</t>
  </si>
  <si>
    <t>11:10 AM +1</t>
  </si>
  <si>
    <t>22:55:00</t>
  </si>
  <si>
    <t>11:25:00</t>
  </si>
  <si>
    <t>21:10:00</t>
  </si>
  <si>
    <t>12:48:00</t>
  </si>
  <si>
    <t>20:54:00</t>
  </si>
  <si>
    <t>12:35:00</t>
  </si>
  <si>
    <t>12:40:00</t>
  </si>
  <si>
    <t>14:50:00</t>
  </si>
  <si>
    <t>12:18:00</t>
  </si>
  <si>
    <t>15:20:00</t>
  </si>
  <si>
    <t>19:13:00</t>
  </si>
  <si>
    <t>18:02:00</t>
  </si>
  <si>
    <t>21:34:00</t>
  </si>
  <si>
    <t>19:59:00</t>
  </si>
  <si>
    <t>23:05:00</t>
  </si>
  <si>
    <t>19:05:00</t>
  </si>
  <si>
    <t>12:50:00</t>
  </si>
  <si>
    <t>23:00:00</t>
  </si>
  <si>
    <t>21:35:00</t>
  </si>
  <si>
    <t>09:20:00</t>
  </si>
  <si>
    <t>19:19:00</t>
  </si>
  <si>
    <t>20:39:00</t>
  </si>
  <si>
    <t>21:49:00</t>
  </si>
  <si>
    <t>11:02:00</t>
  </si>
  <si>
    <t>14:33:00</t>
  </si>
  <si>
    <t>16:04:00</t>
  </si>
  <si>
    <t>10:15:00</t>
  </si>
  <si>
    <t>17:15:00</t>
  </si>
  <si>
    <t>21:14:00</t>
  </si>
  <si>
    <t>16:19:00</t>
  </si>
  <si>
    <t>19:34:00</t>
  </si>
  <si>
    <t>20:25:00</t>
  </si>
  <si>
    <t>6:25 AM +1</t>
  </si>
  <si>
    <t>6:20 AM +1</t>
  </si>
  <si>
    <t>08:58:00</t>
  </si>
  <si>
    <t>19:36:00</t>
  </si>
  <si>
    <t>07:40:00</t>
  </si>
  <si>
    <t>07:45:00</t>
  </si>
  <si>
    <t>16:07:00</t>
  </si>
  <si>
    <t>11:35:00</t>
  </si>
  <si>
    <t>11:55:00</t>
  </si>
  <si>
    <t>7:15 PM +1</t>
  </si>
  <si>
    <t>20:44:00</t>
  </si>
  <si>
    <t>18:10:00</t>
  </si>
  <si>
    <t>21:06:00</t>
  </si>
  <si>
    <t>21:21:00</t>
  </si>
  <si>
    <t>21:41:00</t>
  </si>
  <si>
    <t>2:55 PM +1</t>
  </si>
  <si>
    <t>11:30 AM +1</t>
  </si>
  <si>
    <t>1:00 PM +1</t>
  </si>
  <si>
    <t>16:51:00</t>
  </si>
  <si>
    <t>10:50:00</t>
  </si>
  <si>
    <t>09:55:00</t>
  </si>
  <si>
    <t>10:45:00</t>
  </si>
  <si>
    <t>21:05:00</t>
  </si>
  <si>
    <t>06:00:00</t>
  </si>
  <si>
    <t>12:45:00</t>
  </si>
  <si>
    <t>17:42:00</t>
  </si>
  <si>
    <t>21:50:00</t>
  </si>
  <si>
    <t>09:05:00</t>
  </si>
  <si>
    <t>11:32:00</t>
  </si>
  <si>
    <t>12:11:00</t>
  </si>
  <si>
    <t>13:23:00</t>
  </si>
  <si>
    <t>14:34:00</t>
  </si>
  <si>
    <t>14:37:00</t>
  </si>
  <si>
    <t>19:37:00</t>
  </si>
  <si>
    <t>16:35:00</t>
  </si>
  <si>
    <t>14:59:00</t>
  </si>
  <si>
    <t>10:40:00</t>
  </si>
  <si>
    <t>11:50:00</t>
  </si>
  <si>
    <t>575/77</t>
  </si>
  <si>
    <t>K</t>
  </si>
  <si>
    <t>21»</t>
  </si>
  <si>
    <t>It</t>
  </si>
  <si>
    <t>Nonstop</t>
  </si>
  <si>
    <t>28 Jul - 9 Sep</t>
  </si>
  <si>
    <t>Unknown</t>
  </si>
  <si>
    <t>-</t>
  </si>
  <si>
    <t>After 1 Jun</t>
  </si>
  <si>
    <t>After 5 Aug</t>
  </si>
  <si>
    <t>After 30 May</t>
  </si>
  <si>
    <t>After 28 May</t>
  </si>
  <si>
    <t>After 29 May</t>
  </si>
  <si>
    <t>After 26 May</t>
  </si>
  <si>
    <t>After 27 May</t>
  </si>
  <si>
    <t>After 31 May</t>
  </si>
  <si>
    <t>No Local Traffic On Above Flight</t>
  </si>
  <si>
    <t>Operates 30 Min. Later On Sa</t>
  </si>
  <si>
    <t>Ops WeFrSaSu Eff 7 Jul</t>
  </si>
  <si>
    <t>Above Fit Ops ExTuFr Eff 23 Jul</t>
  </si>
  <si>
    <t>This is odd</t>
  </si>
  <si>
    <t>Above At Ops ThSu Eff 6 Sep</t>
  </si>
  <si>
    <t>JFK Infl L-LaGuardia E-Newark</t>
  </si>
  <si>
    <t>JFK Int'l</t>
  </si>
  <si>
    <t>Above Flt Ops ThuSu Eff 6 Sep</t>
  </si>
  <si>
    <t>No Local Traffic</t>
  </si>
  <si>
    <t>Ops 30 Min. Later On WeSu</t>
  </si>
  <si>
    <t>No Local Traffic On Above Flight; Ops As 830 On ExTuSu</t>
  </si>
  <si>
    <t>Above Flt Ops Daily Eff 30 May</t>
  </si>
  <si>
    <t>Above Flt Dis After 26 May</t>
  </si>
  <si>
    <t>Above Flt Dis After 25 May</t>
  </si>
  <si>
    <t>Above Fit Dis After 29 May</t>
  </si>
  <si>
    <t>Above Fit Dis After 25 May</t>
  </si>
  <si>
    <t>Above Fit Eff 30 May</t>
  </si>
  <si>
    <t>Above Fit Dis After 26 May</t>
  </si>
  <si>
    <t>Ops 25 Min. Later On Sa</t>
  </si>
  <si>
    <t>Above At Eff 15 Jun thru 8 Sep</t>
  </si>
  <si>
    <t>Above Fit Eff 15 Jun thru 8 Sep</t>
  </si>
  <si>
    <t>Above Fit Ops As 801 On Tu</t>
  </si>
  <si>
    <t>Above Fit Eff 3 June</t>
  </si>
  <si>
    <t>Above Fit Dis After 30 May</t>
  </si>
  <si>
    <t>Above Fit Eff 1 Jun</t>
  </si>
  <si>
    <t>Above Fit Dis After 31 May</t>
  </si>
  <si>
    <t>14:00</t>
  </si>
  <si>
    <t>15:15</t>
  </si>
  <si>
    <t>20:00</t>
  </si>
  <si>
    <t>21:00</t>
  </si>
  <si>
    <t>17:45</t>
  </si>
  <si>
    <t>13:50</t>
  </si>
  <si>
    <t>08:30</t>
  </si>
  <si>
    <t>13:30</t>
  </si>
  <si>
    <t>18:55</t>
  </si>
  <si>
    <t>08:10</t>
  </si>
  <si>
    <t>13:25</t>
  </si>
  <si>
    <t>16:30</t>
  </si>
  <si>
    <t>18:00</t>
  </si>
  <si>
    <t>19:50</t>
  </si>
  <si>
    <t>06:30</t>
  </si>
  <si>
    <t>07:25</t>
  </si>
  <si>
    <t>09:00</t>
  </si>
  <si>
    <t>11:25</t>
  </si>
  <si>
    <t>08:20</t>
  </si>
  <si>
    <t>10:00</t>
  </si>
  <si>
    <t>15:35</t>
  </si>
  <si>
    <t>18:05</t>
  </si>
  <si>
    <t>09:20</t>
  </si>
  <si>
    <t>06:20</t>
  </si>
  <si>
    <t>07:15</t>
  </si>
  <si>
    <t>09:10</t>
  </si>
  <si>
    <t>10:15</t>
  </si>
  <si>
    <t>11:30</t>
  </si>
  <si>
    <t>13:35</t>
  </si>
  <si>
    <t>14:35</t>
  </si>
  <si>
    <t>16:35</t>
  </si>
  <si>
    <t>17:35</t>
  </si>
  <si>
    <t>18:30</t>
  </si>
  <si>
    <t>19:55</t>
  </si>
  <si>
    <t>06:50</t>
  </si>
  <si>
    <t>07:40</t>
  </si>
  <si>
    <t>09:50</t>
  </si>
  <si>
    <t>13:00</t>
  </si>
  <si>
    <t>17:20</t>
  </si>
  <si>
    <t>20:35</t>
  </si>
  <si>
    <t>07:00</t>
  </si>
  <si>
    <t>09:25</t>
  </si>
  <si>
    <t>12:50</t>
  </si>
  <si>
    <t>15:40</t>
  </si>
  <si>
    <t>18:10</t>
  </si>
  <si>
    <t>19:30</t>
  </si>
  <si>
    <t>09:05</t>
  </si>
  <si>
    <t>12:05</t>
  </si>
  <si>
    <t>19:15</t>
  </si>
  <si>
    <t>07:10</t>
  </si>
  <si>
    <t>08:00</t>
  </si>
  <si>
    <t>12:10</t>
  </si>
  <si>
    <t>14:10</t>
  </si>
  <si>
    <t>18:15</t>
  </si>
  <si>
    <t>14:45</t>
  </si>
  <si>
    <t>04:05</t>
  </si>
  <si>
    <t>07:30</t>
  </si>
  <si>
    <t>13:15</t>
  </si>
  <si>
    <t>09:15</t>
  </si>
  <si>
    <t>22:05</t>
  </si>
  <si>
    <t>12:20</t>
  </si>
  <si>
    <t>20:10</t>
  </si>
  <si>
    <t>08:15</t>
  </si>
  <si>
    <t>18:45</t>
  </si>
  <si>
    <t>12:40</t>
  </si>
  <si>
    <t>20:45</t>
  </si>
  <si>
    <t>06:05</t>
  </si>
  <si>
    <t>14:30</t>
  </si>
  <si>
    <t>10:35</t>
  </si>
  <si>
    <t>01:55</t>
  </si>
  <si>
    <t>12:55</t>
  </si>
  <si>
    <t>09:55</t>
  </si>
  <si>
    <t>05:25</t>
  </si>
  <si>
    <t>03:45</t>
  </si>
  <si>
    <t>22:45</t>
  </si>
  <si>
    <t>23:59</t>
  </si>
  <si>
    <t>07:50</t>
  </si>
  <si>
    <t>13:55</t>
  </si>
  <si>
    <t>13:40</t>
  </si>
  <si>
    <t>12:00</t>
  </si>
  <si>
    <t>17:00</t>
  </si>
  <si>
    <t>07:45</t>
  </si>
  <si>
    <t>11:00</t>
  </si>
  <si>
    <t>13:45</t>
  </si>
  <si>
    <t>15:00</t>
  </si>
  <si>
    <t>16:00</t>
  </si>
  <si>
    <t>19:00</t>
  </si>
  <si>
    <t>22:30</t>
  </si>
  <si>
    <t>23:10</t>
  </si>
  <si>
    <t>01:45</t>
  </si>
  <si>
    <t>16:15</t>
  </si>
  <si>
    <t>08:05</t>
  </si>
  <si>
    <t>08:50</t>
  </si>
  <si>
    <t>11:10</t>
  </si>
  <si>
    <t>14:40</t>
  </si>
  <si>
    <t>17:30</t>
  </si>
  <si>
    <t>21:15</t>
  </si>
  <si>
    <t>11:40</t>
  </si>
  <si>
    <t>09:30</t>
  </si>
  <si>
    <t>18:35</t>
  </si>
  <si>
    <t>18:50</t>
  </si>
  <si>
    <t>19:20</t>
  </si>
  <si>
    <t>10:30</t>
  </si>
  <si>
    <t>16:10</t>
  </si>
  <si>
    <t>21:45</t>
  </si>
  <si>
    <t>14:25</t>
  </si>
  <si>
    <t>17:55</t>
  </si>
  <si>
    <t>22:10</t>
  </si>
  <si>
    <t>15:10</t>
  </si>
  <si>
    <t>22:20</t>
  </si>
  <si>
    <t>12:30</t>
  </si>
  <si>
    <t>17:10</t>
  </si>
  <si>
    <t>19:45</t>
  </si>
  <si>
    <t>20:15</t>
  </si>
  <si>
    <t>18:25</t>
  </si>
  <si>
    <t>09:45</t>
  </si>
  <si>
    <t>16:40</t>
  </si>
  <si>
    <t>17:05</t>
  </si>
  <si>
    <t>18:20</t>
  </si>
  <si>
    <t>22:15</t>
  </si>
  <si>
    <t>08:40</t>
  </si>
  <si>
    <t>15:30</t>
  </si>
  <si>
    <t>08:55</t>
  </si>
  <si>
    <t>18:40</t>
  </si>
  <si>
    <t>16:50</t>
  </si>
  <si>
    <t>17:25</t>
  </si>
  <si>
    <t>17:50</t>
  </si>
  <si>
    <t>20:30</t>
  </si>
  <si>
    <t>16:05</t>
  </si>
  <si>
    <t>20:40</t>
  </si>
  <si>
    <t>21:30</t>
  </si>
  <si>
    <t>10:05</t>
  </si>
  <si>
    <t>19:40</t>
  </si>
  <si>
    <t>22:00</t>
  </si>
  <si>
    <t>14:55</t>
  </si>
  <si>
    <t>06:45</t>
  </si>
  <si>
    <t>16:20</t>
  </si>
  <si>
    <t>08:35</t>
  </si>
  <si>
    <t>07:05</t>
  </si>
  <si>
    <t>17:40</t>
  </si>
  <si>
    <t>10:10</t>
  </si>
  <si>
    <t>14:15</t>
  </si>
  <si>
    <t>20:20</t>
  </si>
  <si>
    <t>12:15</t>
  </si>
  <si>
    <t>07:20</t>
  </si>
  <si>
    <t>08:45</t>
  </si>
  <si>
    <t>09:35</t>
  </si>
  <si>
    <t>15:45</t>
  </si>
  <si>
    <t>07:55</t>
  </si>
  <si>
    <t>16:45</t>
  </si>
  <si>
    <t>07:35</t>
  </si>
  <si>
    <t>16:55</t>
  </si>
  <si>
    <t>15:05</t>
  </si>
  <si>
    <t>14:05</t>
  </si>
  <si>
    <t>15:55</t>
  </si>
  <si>
    <t>15:50</t>
  </si>
  <si>
    <t>09:40</t>
  </si>
  <si>
    <t>11:15</t>
  </si>
  <si>
    <t>11:05</t>
  </si>
  <si>
    <t>11:45</t>
  </si>
  <si>
    <t>19:05</t>
  </si>
  <si>
    <t>15:24</t>
  </si>
  <si>
    <t>06:00</t>
  </si>
  <si>
    <t>11:55</t>
  </si>
  <si>
    <t>20:55</t>
  </si>
  <si>
    <t>08:25</t>
  </si>
  <si>
    <t>21:20</t>
  </si>
  <si>
    <t>10:45</t>
  </si>
  <si>
    <t>20:50</t>
  </si>
  <si>
    <t>13:05</t>
  </si>
  <si>
    <t>13:20</t>
  </si>
  <si>
    <t>15:20</t>
  </si>
  <si>
    <t>19:25</t>
  </si>
  <si>
    <t>05:20</t>
  </si>
  <si>
    <t>19:38</t>
  </si>
  <si>
    <t>10:25</t>
  </si>
  <si>
    <t>11:20</t>
  </si>
  <si>
    <t>21:50</t>
  </si>
  <si>
    <t>14:02</t>
  </si>
  <si>
    <t>08:59</t>
  </si>
  <si>
    <t>11:24</t>
  </si>
  <si>
    <t>14:20</t>
  </si>
  <si>
    <t>15:58</t>
  </si>
  <si>
    <t>05:40</t>
  </si>
  <si>
    <t>11:38</t>
  </si>
  <si>
    <t>05:10</t>
  </si>
  <si>
    <t>00:00</t>
  </si>
  <si>
    <t>03:05</t>
  </si>
  <si>
    <t>09:18</t>
  </si>
  <si>
    <t>09:13</t>
  </si>
  <si>
    <t>15:25</t>
  </si>
  <si>
    <t>17:15</t>
  </si>
  <si>
    <t>11:08</t>
  </si>
  <si>
    <t>08:43</t>
  </si>
  <si>
    <t>12:45</t>
  </si>
  <si>
    <t>01:00</t>
  </si>
  <si>
    <t>22:35</t>
  </si>
  <si>
    <t>12:25</t>
  </si>
  <si>
    <t>19:10</t>
  </si>
  <si>
    <t>15:49</t>
  </si>
  <si>
    <t>19:35</t>
  </si>
  <si>
    <t>21:40</t>
  </si>
  <si>
    <t>22:55</t>
  </si>
  <si>
    <t>21:10</t>
  </si>
  <si>
    <t>12:48</t>
  </si>
  <si>
    <t>20:54</t>
  </si>
  <si>
    <t>12:35</t>
  </si>
  <si>
    <t>14:50</t>
  </si>
  <si>
    <t>12:18</t>
  </si>
  <si>
    <t>19:13</t>
  </si>
  <si>
    <t>18:02</t>
  </si>
  <si>
    <t>21:34</t>
  </si>
  <si>
    <t>19:59</t>
  </si>
  <si>
    <t>23:05</t>
  </si>
  <si>
    <t>23:00</t>
  </si>
  <si>
    <t>21:35</t>
  </si>
  <si>
    <t>19:19</t>
  </si>
  <si>
    <t>20:39</t>
  </si>
  <si>
    <t>21:49</t>
  </si>
  <si>
    <t>11:02</t>
  </si>
  <si>
    <t>14:33</t>
  </si>
  <si>
    <t>16:04</t>
  </si>
  <si>
    <t>21:14</t>
  </si>
  <si>
    <t>16:19</t>
  </si>
  <si>
    <t>19:34</t>
  </si>
  <si>
    <t>20:25</t>
  </si>
  <si>
    <t>06:25</t>
  </si>
  <si>
    <t>08:58</t>
  </si>
  <si>
    <t>19:36</t>
  </si>
  <si>
    <t>16:07</t>
  </si>
  <si>
    <t>11:35</t>
  </si>
  <si>
    <t>20:44</t>
  </si>
  <si>
    <t>21:06</t>
  </si>
  <si>
    <t>21:21</t>
  </si>
  <si>
    <t>21:41</t>
  </si>
  <si>
    <t>16:51</t>
  </si>
  <si>
    <t>10:50</t>
  </si>
  <si>
    <t>21:05</t>
  </si>
  <si>
    <t>17:42</t>
  </si>
  <si>
    <t>11:32</t>
  </si>
  <si>
    <t>12:11</t>
  </si>
  <si>
    <t>13:23</t>
  </si>
  <si>
    <t>14:34</t>
  </si>
  <si>
    <t>14:37</t>
  </si>
  <si>
    <t>19:37</t>
  </si>
  <si>
    <t>14:59</t>
  </si>
  <si>
    <t>10:40</t>
  </si>
  <si>
    <t>11:50</t>
  </si>
  <si>
    <t>Column2</t>
  </si>
  <si>
    <t>Grand Total</t>
  </si>
  <si>
    <t>Count of Days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</si>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</sst>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3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285.326214699075" createdVersion="7" refreshedVersion="7" minRefreshableVersion="3" recordCount="544" xr:uid="{8417BBE3-5355-4A3D-A2C4-F16B5C3D330E}">
  <cacheSource type="worksheet">
    <worksheetSource name="Table1"/>
  </cacheSource>
  <cacheFields count="18">
    <cacheField name="From" numFmtId="0">
      <sharedItems/>
    </cacheField>
    <cacheField name="CodeFrom" numFmtId="0">
      <sharedItems/>
    </cacheField>
    <cacheField name="To" numFmtId="0">
      <sharedItems/>
    </cacheField>
    <cacheField name="CodeTo" numFmtId="0">
      <sharedItems containsBlank="1"/>
    </cacheField>
    <cacheField name="Days" numFmtId="0">
      <sharedItems count="70">
        <s v="ExSaSu"/>
        <s v="SaSu"/>
        <s v="MoThSa"/>
        <s v="Daily"/>
        <s v="TuSa"/>
        <s v="TuWeFr"/>
        <s v="ExTuSa"/>
        <s v="TuFrSu"/>
        <s v="Fr"/>
        <s v="ExSa"/>
        <s v="ExSu"/>
        <s v="Su"/>
        <s v="Sa"/>
        <s v="ExMoFr"/>
        <s v="TuFr"/>
        <s v="ThSa"/>
        <s v="WeFrSu"/>
        <s v="MoWeSaSu"/>
        <s v="Tu"/>
        <s v="Th"/>
        <s v="MoWeSa"/>
        <s v="WeThSu"/>
        <s v="ThSu"/>
        <s v="ExMoSu"/>
        <s v="MoTh"/>
        <s v="TuWe"/>
        <s v="FrSu"/>
        <s v="TuWeSa"/>
        <s v="WeSa"/>
        <s v="Mo"/>
        <s v="TuFrSa"/>
        <s v="MoSa"/>
        <s v="We"/>
        <s v="MoThSaSu"/>
        <s v="MoSu"/>
        <s v="ExMoTu"/>
        <s v="WeFrSaSu"/>
        <s v="MoTuTh"/>
        <s v="MoWeFr"/>
        <s v="MoFrSaSu"/>
        <s v="WrSa"/>
        <s v="TuThSa"/>
        <s v="ThFrSaSu"/>
        <s v="Wednesday"/>
        <s v="Mo, Th, Fr"/>
        <s v="Mo, Th"/>
        <s v="Tuesday"/>
        <s v="We, Sa, Su"/>
        <s v="We, Sa"/>
        <s v="Th, Sa"/>
        <s v="Ex Sa Su"/>
        <s v="We Fr"/>
        <s v="TuTh"/>
        <s v="Mo/Tu/Th/Sa"/>
        <s v="MoFrSaSu K"/>
        <s v="Daily K"/>
        <s v="ExSaSu K"/>
        <s v="WeSu"/>
        <s v="FrSa"/>
        <s v="ExTu"/>
        <s v="ExTuSu"/>
        <s v="Da»"/>
        <s v="WeFr"/>
        <s v="MoWe"/>
        <s v="TuWeThFr"/>
        <s v="TuThSu"/>
        <s v="TuWeThSe"/>
        <s v="TuSu"/>
        <s v="WeThSuN"/>
        <s v="TuWeThSu"/>
      </sharedItems>
    </cacheField>
    <cacheField name="Column2" numFmtId="0">
      <sharedItems/>
    </cacheField>
    <cacheField name="Leave" numFmtId="0">
      <sharedItems/>
    </cacheField>
    <cacheField name="Arrive" numFmtId="0">
      <sharedItems containsMixedTypes="1" containsNumber="1" containsInteger="1" minValue="8500" maxValue="8500"/>
    </cacheField>
    <cacheField name="Flight" numFmtId="0">
      <sharedItems containsDate="1" containsBlank="1" containsMixedTypes="1" minDate="1899-12-31T04:01:03" maxDate="1900-01-09T18:22:04"/>
    </cacheField>
    <cacheField name="Stops" numFmtId="0">
      <sharedItems containsMixedTypes="1" containsNumber="1" containsInteger="1" minValue="1" maxValue="1"/>
    </cacheField>
    <cacheField name="Effective" numFmtId="0">
      <sharedItems containsDate="1" containsBlank="1" containsMixedTypes="1" minDate="1984-04-29T00:00:00" maxDate="2023-09-11T00:00:00"/>
    </cacheField>
    <cacheField name="Discontinued" numFmtId="0">
      <sharedItems containsDate="1" containsBlank="1" containsMixedTypes="1" minDate="2023-05-25T00:00:00" maxDate="2023-09-10T00:00:00"/>
    </cacheField>
    <cacheField name="Suspension Start" numFmtId="0">
      <sharedItems containsDate="1" containsBlank="1" containsMixedTypes="1" minDate="2023-06-03T00:00:00" maxDate="2023-09-07T00:00:00"/>
    </cacheField>
    <cacheField name="Suspension End" numFmtId="0">
      <sharedItems containsNonDate="0" containsDate="1" containsString="0" containsBlank="1" minDate="2023-08-02T00:00:00" maxDate="2023-09-08T00:00:00"/>
    </cacheField>
    <cacheField name="Notes" numFmtId="0">
      <sharedItems containsBlank="1"/>
    </cacheField>
    <cacheField name="Column1" numFmtId="0">
      <sharedItems containsNonDate="0" containsString="0" containsBlank="1"/>
    </cacheField>
    <cacheField name="Leave_24hr" numFmtId="0">
      <sharedItems containsBlank="1"/>
    </cacheField>
    <cacheField name="Arrive_24h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4">
  <r>
    <s v="Albany, NY"/>
    <s v="ALB"/>
    <s v="New York, NY - JFK Int’l (K)"/>
    <s v="JFK"/>
    <x v="0"/>
    <s v="x"/>
    <s v="2:00p"/>
    <s v="2:45p"/>
    <n v="923"/>
    <s v="Nonstop"/>
    <m/>
    <m/>
    <m/>
    <m/>
    <m/>
    <m/>
    <s v="14:00"/>
    <s v="14:45"/>
  </r>
  <r>
    <s v="Albany, NY"/>
    <s v="ALB"/>
    <s v="New York, NY - JFK Int’l (K)"/>
    <s v="JFK"/>
    <x v="1"/>
    <s v="67"/>
    <s v="3:15p"/>
    <s v="4:00p"/>
    <n v="923"/>
    <s v="Nonstop"/>
    <m/>
    <m/>
    <m/>
    <m/>
    <m/>
    <m/>
    <s v="15:15"/>
    <s v="16:00"/>
  </r>
  <r>
    <s v="Albany, NY"/>
    <s v="ALB"/>
    <s v="New York, NY - JFK Int’l (K)"/>
    <s v="JFK"/>
    <x v="1"/>
    <s v="67"/>
    <s v="8:00p"/>
    <s v="8:45p"/>
    <n v="927"/>
    <s v="Nonstop"/>
    <m/>
    <m/>
    <m/>
    <m/>
    <m/>
    <m/>
    <s v="20:00"/>
    <s v="20:45"/>
  </r>
  <r>
    <s v="Albany, NY"/>
    <s v="ALB"/>
    <s v="New York, NY - JFK Int’l (K)"/>
    <s v="JFK"/>
    <x v="0"/>
    <s v="x123"/>
    <s v="9:00p"/>
    <s v="9:45p"/>
    <n v="921"/>
    <s v="Nonstop"/>
    <m/>
    <m/>
    <m/>
    <m/>
    <m/>
    <m/>
    <s v="21:00"/>
    <s v="21:45"/>
  </r>
  <r>
    <s v="Antigua"/>
    <s v="ANU"/>
    <s v="Port of Spain"/>
    <s v="POS"/>
    <x v="2"/>
    <s v="146"/>
    <s v="5:45p"/>
    <s v="7:05p"/>
    <n v="435"/>
    <s v="Nonstop"/>
    <m/>
    <m/>
    <e v="#NAME?"/>
    <m/>
    <m/>
    <m/>
    <s v="17:45"/>
    <s v="19:05"/>
  </r>
  <r>
    <s v="Antigua"/>
    <s v="ANU"/>
    <s v="St. Kitts"/>
    <s v="SKB"/>
    <x v="1"/>
    <s v="67"/>
    <s v="1:50p"/>
    <s v="2:25p"/>
    <n v="230"/>
    <s v="Nonstop"/>
    <m/>
    <m/>
    <m/>
    <m/>
    <m/>
    <m/>
    <s v="13:50"/>
    <s v="14:25"/>
  </r>
  <r>
    <s v="Atlanta"/>
    <s v="ATL"/>
    <s v="Miami, FL"/>
    <s v="MIA"/>
    <x v="3"/>
    <s v="DLY"/>
    <s v="8:30a"/>
    <s v="10:10a"/>
    <n v="990"/>
    <s v="Nonstop"/>
    <m/>
    <m/>
    <m/>
    <m/>
    <m/>
    <m/>
    <s v="08:30"/>
    <s v="10:10"/>
  </r>
  <r>
    <s v="Atlanta"/>
    <s v="ATL"/>
    <s v="Miami, FL"/>
    <s v="MIA"/>
    <x v="3"/>
    <s v="DLY"/>
    <s v="1:30p"/>
    <s v="3:15p"/>
    <n v="994"/>
    <s v="Nonstop"/>
    <m/>
    <m/>
    <m/>
    <m/>
    <m/>
    <m/>
    <s v="13:30"/>
    <s v="15:15"/>
  </r>
  <r>
    <s v="Atlanta"/>
    <s v="ATL"/>
    <s v="Miami, FL"/>
    <s v="MIA"/>
    <x v="3"/>
    <s v="DLY"/>
    <s v="6:55p"/>
    <s v="6:35p"/>
    <n v="998"/>
    <s v="Nonstop"/>
    <m/>
    <m/>
    <m/>
    <m/>
    <m/>
    <m/>
    <s v="18:55"/>
    <s v="18:35"/>
  </r>
  <r>
    <s v="Atlanta"/>
    <s v="ATL"/>
    <s v="New York, NY - JFK Int’l (K)"/>
    <s v="JFK"/>
    <x v="0"/>
    <s v="x123"/>
    <s v="8:10a"/>
    <s v="10:10a"/>
    <n v="972"/>
    <s v="Nonstop"/>
    <m/>
    <m/>
    <m/>
    <m/>
    <m/>
    <m/>
    <s v="08:10"/>
    <s v="10:10"/>
  </r>
  <r>
    <s v="Atlanta"/>
    <s v="ATL"/>
    <s v="New York, NY - JFK Int’l (K)"/>
    <s v="JFK"/>
    <x v="3"/>
    <s v="DLY"/>
    <s v="1:25p"/>
    <s v="3:24p"/>
    <n v="976"/>
    <s v="Nonstop"/>
    <m/>
    <m/>
    <m/>
    <m/>
    <m/>
    <m/>
    <s v="13:25"/>
    <s v="15:24"/>
  </r>
  <r>
    <s v="Atlanta"/>
    <s v="ATL"/>
    <s v="New York, NY - JFK Int’l (K)"/>
    <s v="JFK"/>
    <x v="0"/>
    <s v="x123"/>
    <s v="4:30p"/>
    <s v="6:45p"/>
    <n v="974"/>
    <s v="Nonstop"/>
    <m/>
    <m/>
    <m/>
    <m/>
    <m/>
    <m/>
    <s v="16:30"/>
    <s v="18:45"/>
  </r>
  <r>
    <s v="Atlanta"/>
    <s v="ATL"/>
    <s v="New York, NY - JFK Int’l (K)"/>
    <s v="JFK"/>
    <x v="3"/>
    <s v="DLY"/>
    <s v="6:00p"/>
    <s v="8:15p"/>
    <n v="978"/>
    <s v="Nonstop"/>
    <m/>
    <m/>
    <m/>
    <m/>
    <m/>
    <m/>
    <s v="18:00"/>
    <s v="20:15"/>
  </r>
  <r>
    <s v="Auckland"/>
    <s v="AUC"/>
    <s v="Honolulu, HI"/>
    <s v="HNL"/>
    <x v="2"/>
    <s v="146"/>
    <s v="7:50p"/>
    <s v="6:00a"/>
    <n v="812"/>
    <s v="Nonstop"/>
    <m/>
    <m/>
    <m/>
    <m/>
    <m/>
    <m/>
    <s v="19:50"/>
    <s v="06:00"/>
  </r>
  <r>
    <s v="Auckland"/>
    <s v="AKL"/>
    <s v="Los Angeles, CA"/>
    <s v="LAX"/>
    <x v="4"/>
    <s v="26"/>
    <s v="6:30a"/>
    <s v="11:25a"/>
    <n v="816"/>
    <s v="Nonstop"/>
    <m/>
    <m/>
    <m/>
    <m/>
    <m/>
    <m/>
    <s v="06:30"/>
    <s v="11:25"/>
  </r>
  <r>
    <s v="Auckland"/>
    <s v="AKL"/>
    <s v="Melbourne Tullamarine"/>
    <s v="MEL"/>
    <x v="4"/>
    <s v="26"/>
    <s v="7:25a"/>
    <s v="9:10a"/>
    <n v="816"/>
    <s v="Nonstop"/>
    <m/>
    <m/>
    <m/>
    <m/>
    <m/>
    <m/>
    <s v="07:25"/>
    <s v="09:10"/>
  </r>
  <r>
    <s v="Auckland"/>
    <s v="AKL"/>
    <s v="Sydney"/>
    <s v="SYD"/>
    <x v="2"/>
    <s v="146"/>
    <s v="9:00a"/>
    <s v="10:15a"/>
    <n v="811"/>
    <s v="Nonstop"/>
    <m/>
    <m/>
    <m/>
    <m/>
    <m/>
    <m/>
    <s v="09:00"/>
    <s v="10:15"/>
  </r>
  <r>
    <s v="Austin"/>
    <s v="AUS"/>
    <s v="Dallas/Ft. Worth, TX"/>
    <s v="DFW"/>
    <x v="3"/>
    <s v="DLY"/>
    <s v="11:25a"/>
    <s v="12:15p"/>
    <n v="2"/>
    <s v="Nonstop"/>
    <m/>
    <m/>
    <e v="#NAME?"/>
    <m/>
    <m/>
    <m/>
    <s v="11:25"/>
    <s v="12:15"/>
  </r>
  <r>
    <s v="Barbados"/>
    <s v="BGI"/>
    <s v="Miami, FL"/>
    <s v="MIA"/>
    <x v="5"/>
    <s v="235"/>
    <s v="8:20a"/>
    <s v="11:55a"/>
    <n v="436"/>
    <s v="Nonstop"/>
    <m/>
    <m/>
    <m/>
    <m/>
    <m/>
    <m/>
    <s v="08:20"/>
    <s v="11:55"/>
  </r>
  <r>
    <s v="Barbados"/>
    <s v="BGI"/>
    <s v="New York, NY/Newark, NJ (K)"/>
    <s v="JFK"/>
    <x v="3"/>
    <s v="DLY"/>
    <s v="10:00a"/>
    <s v="2:35p"/>
    <n v="220"/>
    <s v="Nonstop"/>
    <m/>
    <m/>
    <m/>
    <m/>
    <m/>
    <m/>
    <s v="10:00"/>
    <s v="14:35"/>
  </r>
  <r>
    <s v="Barbados"/>
    <s v="BGI"/>
    <s v="Port of Spain"/>
    <s v="POS"/>
    <x v="6"/>
    <s v="x134"/>
    <s v="3:35p"/>
    <s v="4:35p"/>
    <n v="219"/>
    <s v="Nonstop"/>
    <m/>
    <m/>
    <m/>
    <m/>
    <m/>
    <m/>
    <s v="15:35"/>
    <s v="16:35"/>
  </r>
  <r>
    <s v="Barbados"/>
    <s v="BGI"/>
    <s v="Port of Spain"/>
    <s v="POS"/>
    <x v="7"/>
    <s v="257"/>
    <s v="6:05p"/>
    <s v="7:05p"/>
    <n v="435"/>
    <s v="Nonstop"/>
    <m/>
    <m/>
    <m/>
    <m/>
    <m/>
    <m/>
    <s v="18:05"/>
    <s v="19:05"/>
  </r>
  <r>
    <s v="Beijing"/>
    <s v="PEK"/>
    <s v="Tokyo, Narita"/>
    <s v="NRT"/>
    <x v="8"/>
    <s v="5"/>
    <s v="9:20a"/>
    <s v="2:30p"/>
    <n v="18"/>
    <s v="Nonstop"/>
    <m/>
    <m/>
    <m/>
    <m/>
    <m/>
    <m/>
    <s v="09:20"/>
    <s v="14:30"/>
  </r>
  <r>
    <s v="Berlin"/>
    <s v="TXL"/>
    <s v="Frankfurt"/>
    <s v="FRA"/>
    <x v="3"/>
    <s v="DLY"/>
    <s v="6:20a"/>
    <s v="7:20a"/>
    <n v="631"/>
    <s v="Nonstop"/>
    <m/>
    <m/>
    <m/>
    <m/>
    <m/>
    <m/>
    <s v="06:20"/>
    <s v="07:20"/>
  </r>
  <r>
    <s v="Berlin"/>
    <s v="TXL"/>
    <s v="Frankfurt"/>
    <s v="FRA"/>
    <x v="0"/>
    <s v="x123"/>
    <s v="6:30a"/>
    <s v="7:30a"/>
    <n v="639"/>
    <s v="Nonstop"/>
    <m/>
    <m/>
    <d v="2023-07-21T00:00:00"/>
    <d v="2023-08-30T00:00:00"/>
    <m/>
    <m/>
    <s v="06:30"/>
    <s v="07:30"/>
  </r>
  <r>
    <s v="Berlin"/>
    <s v="TXL"/>
    <s v="Frankfurt"/>
    <s v="FRA"/>
    <x v="3"/>
    <s v="DLY"/>
    <s v="7:15a"/>
    <s v="8:15a"/>
    <n v="633"/>
    <s v="Nonstop"/>
    <m/>
    <m/>
    <m/>
    <m/>
    <m/>
    <m/>
    <s v="07:15"/>
    <s v="08:15"/>
  </r>
  <r>
    <s v="Berlin"/>
    <s v="TXL"/>
    <s v="Frankfurt"/>
    <s v="FRA"/>
    <x v="3"/>
    <s v="DLY"/>
    <s v="8:30a"/>
    <s v="9:30a"/>
    <n v="635"/>
    <s v="Nonstop"/>
    <m/>
    <m/>
    <m/>
    <m/>
    <m/>
    <m/>
    <s v="08:30"/>
    <s v="09:30"/>
  </r>
  <r>
    <s v="Berlin"/>
    <s v="TXL"/>
    <s v="Frankfurt"/>
    <s v="FRA"/>
    <x v="3"/>
    <s v="DLY"/>
    <s v="9:10a"/>
    <s v="10:10a"/>
    <n v="637"/>
    <s v="Nonstop"/>
    <m/>
    <m/>
    <m/>
    <m/>
    <m/>
    <m/>
    <s v="09:10"/>
    <s v="10:10"/>
  </r>
  <r>
    <s v="Berlin"/>
    <s v="TXL"/>
    <s v="Frankfurt"/>
    <s v="FRA"/>
    <x v="3"/>
    <s v="DLY"/>
    <s v="10:15a"/>
    <s v="11:15a"/>
    <n v="641"/>
    <s v="Nonstop"/>
    <m/>
    <m/>
    <m/>
    <m/>
    <m/>
    <m/>
    <s v="10:15"/>
    <s v="11:15"/>
  </r>
  <r>
    <s v="Berlin"/>
    <s v="TXL"/>
    <s v="Frankfurt"/>
    <s v="FRA"/>
    <x v="3"/>
    <s v="DLY"/>
    <s v="11:30a"/>
    <s v="12:30p"/>
    <n v="643"/>
    <s v="Nonstop"/>
    <m/>
    <m/>
    <m/>
    <m/>
    <m/>
    <m/>
    <s v="11:30"/>
    <s v="12:30"/>
  </r>
  <r>
    <s v="Berlin"/>
    <s v="TXL"/>
    <s v="Frankfurt"/>
    <s v="FRA"/>
    <x v="3"/>
    <s v="DLY"/>
    <s v="1:35p"/>
    <s v="2:35p"/>
    <n v="647"/>
    <s v="Nonstop"/>
    <m/>
    <m/>
    <m/>
    <m/>
    <m/>
    <m/>
    <s v="13:35"/>
    <s v="14:35"/>
  </r>
  <r>
    <s v="Berlin"/>
    <s v="TXL"/>
    <s v="Frankfurt"/>
    <s v="FRA"/>
    <x v="9"/>
    <s v="x123"/>
    <s v="2:35p"/>
    <s v="3:40p"/>
    <n v="649"/>
    <s v="Nonstop"/>
    <m/>
    <m/>
    <d v="2023-07-23T00:00:00"/>
    <d v="2023-08-30T00:00:00"/>
    <m/>
    <m/>
    <s v="14:35"/>
    <s v="15:40"/>
  </r>
  <r>
    <s v="Berlin"/>
    <s v="TXL"/>
    <s v="Frankfurt"/>
    <s v="FRA"/>
    <x v="3"/>
    <s v="DLY"/>
    <s v="3:35p"/>
    <s v="4:35p"/>
    <n v="651"/>
    <s v="Nonstop"/>
    <m/>
    <m/>
    <m/>
    <m/>
    <m/>
    <m/>
    <s v="15:35"/>
    <s v="16:35"/>
  </r>
  <r>
    <s v="Berlin"/>
    <s v="TXL"/>
    <s v="Frankfurt"/>
    <s v="FRA"/>
    <x v="9"/>
    <s v="x123"/>
    <s v="4:35p"/>
    <s v="5:35p"/>
    <n v="653"/>
    <s v="Nonstop"/>
    <m/>
    <m/>
    <d v="2023-07-23T00:00:00"/>
    <d v="2023-08-30T00:00:00"/>
    <m/>
    <m/>
    <s v="16:35"/>
    <s v="17:35"/>
  </r>
  <r>
    <s v="Berlin"/>
    <s v="TXL"/>
    <s v="Frankfurt"/>
    <s v="FRA"/>
    <x v="3"/>
    <s v="DLY"/>
    <s v="5:35p"/>
    <s v="6:35p"/>
    <n v="655"/>
    <s v="Nonstop"/>
    <m/>
    <m/>
    <m/>
    <m/>
    <m/>
    <m/>
    <s v="17:35"/>
    <s v="18:35"/>
  </r>
  <r>
    <s v="Berlin"/>
    <s v="TXL"/>
    <s v="Frankfurt"/>
    <s v="FRA"/>
    <x v="9"/>
    <s v="x123"/>
    <s v="6:30p"/>
    <s v="7:30p"/>
    <n v="657"/>
    <s v="Nonstop"/>
    <m/>
    <m/>
    <m/>
    <m/>
    <m/>
    <m/>
    <s v="18:30"/>
    <s v="19:30"/>
  </r>
  <r>
    <s v="Berlin"/>
    <s v="TXL"/>
    <s v="Frankfurt"/>
    <s v="FRA"/>
    <x v="3"/>
    <s v="DLY"/>
    <s v="7:55p"/>
    <s v="8:55p"/>
    <n v="659"/>
    <s v="Nonstop"/>
    <m/>
    <m/>
    <m/>
    <m/>
    <m/>
    <m/>
    <s v="19:55"/>
    <s v="20:55"/>
  </r>
  <r>
    <s v="Berlin"/>
    <s v="TXL"/>
    <s v="Hamburg"/>
    <s v="HAM"/>
    <x v="0"/>
    <s v="x123"/>
    <s v="6:50a"/>
    <s v="7:35a"/>
    <n v="603"/>
    <s v="Nonstop"/>
    <m/>
    <m/>
    <d v="2023-07-21T00:00:00"/>
    <d v="2023-08-30T00:00:00"/>
    <m/>
    <m/>
    <s v="06:50"/>
    <s v="07:35"/>
  </r>
  <r>
    <s v="Berlin"/>
    <s v="TXL"/>
    <s v="Hamburg"/>
    <s v="HAM"/>
    <x v="3"/>
    <s v="DLY"/>
    <s v="7:40a"/>
    <s v="8:25a"/>
    <n v="101"/>
    <s v="Nonstop"/>
    <m/>
    <m/>
    <m/>
    <m/>
    <m/>
    <m/>
    <s v="07:40"/>
    <s v="08:25"/>
  </r>
  <r>
    <s v="Berlin"/>
    <s v="TXL"/>
    <s v="Hamburg"/>
    <s v="HAM"/>
    <x v="3"/>
    <s v="DLY"/>
    <s v="9:50a"/>
    <s v="10:35a"/>
    <n v="607"/>
    <s v="Nonstop"/>
    <m/>
    <m/>
    <m/>
    <m/>
    <m/>
    <m/>
    <s v="09:50"/>
    <s v="10:35"/>
  </r>
  <r>
    <s v="Berlin"/>
    <s v="TXL"/>
    <s v="Hamburg"/>
    <s v="HAM"/>
    <x v="3"/>
    <s v="DLY"/>
    <s v="1:00p"/>
    <s v="1:45p"/>
    <n v="611"/>
    <s v="Nonstop"/>
    <m/>
    <m/>
    <m/>
    <m/>
    <m/>
    <m/>
    <s v="13:00"/>
    <s v="13:45"/>
  </r>
  <r>
    <s v="Berlin"/>
    <s v="TXL"/>
    <s v="Hamburg"/>
    <s v="HAM"/>
    <x v="3"/>
    <s v="DLY"/>
    <s v="3:15p"/>
    <s v="4:00p"/>
    <n v="613"/>
    <s v="Nonstop"/>
    <m/>
    <m/>
    <m/>
    <m/>
    <m/>
    <m/>
    <s v="15:15"/>
    <s v="16:00"/>
  </r>
  <r>
    <s v="Berlin"/>
    <s v="TXL"/>
    <s v="Hamburg"/>
    <s v="HAM"/>
    <x v="3"/>
    <s v="DLY"/>
    <s v="5:20p"/>
    <s v="6:05p"/>
    <n v="615"/>
    <s v="Nonstop"/>
    <m/>
    <m/>
    <m/>
    <m/>
    <m/>
    <m/>
    <s v="17:20"/>
    <s v="18:05"/>
  </r>
  <r>
    <s v="Berlin"/>
    <s v="TXL"/>
    <s v="Hamburg"/>
    <s v="HAM"/>
    <x v="3"/>
    <s v="DLY"/>
    <s v="6:55p"/>
    <s v="7:40p"/>
    <n v="617"/>
    <s v="Nonstop"/>
    <m/>
    <m/>
    <m/>
    <m/>
    <m/>
    <m/>
    <s v="18:55"/>
    <s v="19:40"/>
  </r>
  <r>
    <s v="Berlin"/>
    <s v="TXL"/>
    <s v="Hamburg"/>
    <s v="HAM"/>
    <x v="9"/>
    <s v="123457"/>
    <s v="8:35p"/>
    <s v="9:20p"/>
    <n v="619"/>
    <s v="Nonstop"/>
    <m/>
    <m/>
    <m/>
    <m/>
    <m/>
    <m/>
    <s v="20:35"/>
    <s v="21:20"/>
  </r>
  <r>
    <s v="Berlin"/>
    <s v="TXL"/>
    <s v="Munich"/>
    <s v="MUN"/>
    <x v="3"/>
    <s v="DLY"/>
    <s v="7:00a"/>
    <s v="8:20a"/>
    <n v="681"/>
    <s v="Nonstop"/>
    <m/>
    <m/>
    <m/>
    <m/>
    <m/>
    <m/>
    <s v="07:00"/>
    <s v="08:20"/>
  </r>
  <r>
    <s v="Berlin"/>
    <s v="TXL"/>
    <s v="Munich"/>
    <s v="MUN"/>
    <x v="3"/>
    <s v="DLY"/>
    <s v="9:25a"/>
    <s v="10:45a"/>
    <n v="685"/>
    <s v="Nonstop"/>
    <m/>
    <m/>
    <m/>
    <m/>
    <m/>
    <m/>
    <s v="09:25"/>
    <s v="10:45"/>
  </r>
  <r>
    <s v="Berlin"/>
    <s v="TXL"/>
    <s v="Munich"/>
    <s v="MUN"/>
    <x v="3"/>
    <s v="DLY"/>
    <s v="12:50p"/>
    <s v="2:10p"/>
    <n v="687"/>
    <s v="Nonstop"/>
    <m/>
    <m/>
    <m/>
    <m/>
    <m/>
    <m/>
    <s v="12:50"/>
    <s v="14:10"/>
  </r>
  <r>
    <s v="Berlin"/>
    <s v="TXL"/>
    <s v="Munich"/>
    <s v="MUN"/>
    <x v="3"/>
    <s v="DLY"/>
    <s v="3:40p"/>
    <s v="5:00p"/>
    <n v="689"/>
    <s v="Nonstop"/>
    <m/>
    <m/>
    <m/>
    <m/>
    <m/>
    <m/>
    <s v="15:40"/>
    <s v="17:00"/>
  </r>
  <r>
    <s v="Berlin"/>
    <s v="TXL"/>
    <s v="Munich"/>
    <s v="MUN"/>
    <x v="3"/>
    <s v="DLY"/>
    <s v="6:10p"/>
    <s v="7:30p"/>
    <n v="691"/>
    <s v="Nonstop"/>
    <m/>
    <m/>
    <m/>
    <m/>
    <m/>
    <m/>
    <s v="18:10"/>
    <s v="19:30"/>
  </r>
  <r>
    <s v="Berlin"/>
    <s v="TXL"/>
    <s v="Munich"/>
    <s v="MUN"/>
    <x v="9"/>
    <s v="123457"/>
    <s v="7:30p"/>
    <s v="8:50p"/>
    <n v="693"/>
    <s v="Nonstop"/>
    <m/>
    <m/>
    <m/>
    <m/>
    <m/>
    <m/>
    <s v="19:30"/>
    <s v="20:50"/>
  </r>
  <r>
    <s v="Berlin"/>
    <s v="TXL"/>
    <s v="Nuremberg"/>
    <s v="NUE"/>
    <x v="10"/>
    <s v="123456"/>
    <s v="9:05a"/>
    <s v="10:05a"/>
    <n v="671"/>
    <s v="Nonstop"/>
    <m/>
    <m/>
    <m/>
    <m/>
    <m/>
    <m/>
    <s v="09:05"/>
    <s v="10:05"/>
  </r>
  <r>
    <s v="Berlin"/>
    <s v="TXL"/>
    <s v="Nuremberg"/>
    <s v="NUE"/>
    <x v="11"/>
    <s v="7"/>
    <s v="12:05p"/>
    <s v="1:05p"/>
    <n v="673"/>
    <s v="Nonstop"/>
    <m/>
    <m/>
    <m/>
    <m/>
    <m/>
    <m/>
    <s v="12:05"/>
    <s v="13:05"/>
  </r>
  <r>
    <s v="Berlin"/>
    <s v="TXL"/>
    <s v="Nuremberg"/>
    <s v="NUE"/>
    <x v="12"/>
    <s v="6"/>
    <s v="2:35p"/>
    <s v="3:35p"/>
    <n v="675"/>
    <s v="Nonstop"/>
    <m/>
    <m/>
    <m/>
    <m/>
    <m/>
    <m/>
    <s v="14:35"/>
    <s v="15:35"/>
  </r>
  <r>
    <s v="Berlin"/>
    <s v="TXL"/>
    <s v="Nuremberg"/>
    <s v="NUE"/>
    <x v="9"/>
    <s v="123457"/>
    <s v="7:15p"/>
    <s v="8:15p"/>
    <n v="677"/>
    <s v="Nonstop"/>
    <m/>
    <m/>
    <m/>
    <m/>
    <m/>
    <m/>
    <s v="19:15"/>
    <s v="20:15"/>
  </r>
  <r>
    <s v="Berlin"/>
    <s v="TXL"/>
    <s v="Stuttgart"/>
    <s v="STR"/>
    <x v="10"/>
    <s v="123456"/>
    <s v="7:10a"/>
    <s v="8:25a"/>
    <n v="661"/>
    <s v="Nonstop"/>
    <m/>
    <m/>
    <m/>
    <m/>
    <m/>
    <m/>
    <s v="07:10"/>
    <s v="08:25"/>
  </r>
  <r>
    <s v="Berlin"/>
    <s v="TXL"/>
    <s v="Stuttgart"/>
    <s v="STR"/>
    <x v="13"/>
    <s v="23467"/>
    <s v="8:00a"/>
    <s v="9:10a"/>
    <n v="93"/>
    <s v="Nonstop"/>
    <m/>
    <m/>
    <m/>
    <m/>
    <m/>
    <m/>
    <s v="08:00"/>
    <s v="09:10"/>
  </r>
  <r>
    <s v="Berlin"/>
    <s v="TXL"/>
    <s v="Stuttgart"/>
    <s v="STR"/>
    <x v="10"/>
    <s v="123456"/>
    <s v="12:10p"/>
    <s v="1:20p"/>
    <n v="665"/>
    <s v="Nonstop"/>
    <m/>
    <m/>
    <m/>
    <m/>
    <m/>
    <m/>
    <s v="12:10"/>
    <s v="13:20"/>
  </r>
  <r>
    <s v="Berlin"/>
    <s v="TXL"/>
    <s v="Stuttgart"/>
    <s v="STR"/>
    <x v="11"/>
    <s v="7"/>
    <s v="2:10p"/>
    <s v="3:20p"/>
    <n v="667"/>
    <s v="Nonstop"/>
    <m/>
    <m/>
    <m/>
    <m/>
    <m/>
    <m/>
    <s v="14:10"/>
    <s v="15:20"/>
  </r>
  <r>
    <s v="Berlin"/>
    <s v="TXL"/>
    <s v="Stuttgart"/>
    <s v="STR"/>
    <x v="3"/>
    <s v="DLY"/>
    <s v="6:15p"/>
    <s v="7:25p"/>
    <n v="669"/>
    <s v="Nonstop"/>
    <m/>
    <m/>
    <m/>
    <m/>
    <s v="Operates 30 Min. Later On Sa"/>
    <m/>
    <s v="18:15"/>
    <s v="19:25"/>
  </r>
  <r>
    <s v="Berlin"/>
    <s v="TXL"/>
    <s v="Zurich"/>
    <s v="ZUR"/>
    <x v="3"/>
    <s v="DLY"/>
    <s v="2:45p"/>
    <s v="4:10p"/>
    <n v="625"/>
    <s v="Nonstop"/>
    <m/>
    <m/>
    <m/>
    <m/>
    <m/>
    <m/>
    <s v="14:45"/>
    <s v="16:10"/>
  </r>
  <r>
    <s v="Bermuda"/>
    <s v="BDA"/>
    <s v="New York, NY/Newark, NJ (K)"/>
    <s v="JFK"/>
    <x v="3"/>
    <s v="DLY"/>
    <s v="1:50p"/>
    <s v="2:55p"/>
    <n v="733"/>
    <s v="Nonstop"/>
    <m/>
    <m/>
    <m/>
    <m/>
    <m/>
    <m/>
    <s v="13:50"/>
    <s v="14:55"/>
  </r>
  <r>
    <s v="Bombay"/>
    <s v="BOM"/>
    <s v="Dubai"/>
    <s v="DXB"/>
    <x v="14"/>
    <s v="25"/>
    <s v="4:05a"/>
    <s v="5:20a"/>
    <n v="73"/>
    <s v="Nonstop"/>
    <m/>
    <m/>
    <m/>
    <m/>
    <m/>
    <m/>
    <s v="04:05"/>
    <s v="05:20"/>
  </r>
  <r>
    <s v="Bombay"/>
    <s v="BOM"/>
    <s v="New York, NY/Newark, NJ (K)"/>
    <s v="JFK"/>
    <x v="3"/>
    <s v="DLY"/>
    <s v="7:30a"/>
    <s v="8:25a"/>
    <n v="219"/>
    <s v="Nonstop"/>
    <m/>
    <m/>
    <m/>
    <m/>
    <m/>
    <m/>
    <s v="07:30"/>
    <s v="08:25"/>
  </r>
  <r>
    <s v="Bombay"/>
    <s v="BOM"/>
    <s v="New York, NY/Newark, NJ (K)"/>
    <s v="JFK"/>
    <x v="3"/>
    <s v="DLY"/>
    <s v="10:15a"/>
    <s v="11:15a"/>
    <n v="207"/>
    <s v="Nonstop"/>
    <m/>
    <m/>
    <m/>
    <m/>
    <m/>
    <m/>
    <s v="10:15"/>
    <s v="11:15"/>
  </r>
  <r>
    <s v="Bombay"/>
    <s v="BOM"/>
    <s v="New York, NY/Newark, NJ (K)"/>
    <s v="JFK"/>
    <x v="3"/>
    <s v="DLY"/>
    <s v="3:35p"/>
    <s v="4:35p"/>
    <n v="533"/>
    <s v="Nonstop"/>
    <m/>
    <m/>
    <m/>
    <m/>
    <m/>
    <m/>
    <s v="15:35"/>
    <s v="16:35"/>
  </r>
  <r>
    <s v="Bombay"/>
    <s v="BOM"/>
    <s v="New York, NY/Newark, NJ (K)"/>
    <s v="JFK"/>
    <x v="3"/>
    <s v="DLY"/>
    <s v="6:30p"/>
    <s v="7:38p"/>
    <n v="201"/>
    <s v="Nonstop"/>
    <m/>
    <m/>
    <m/>
    <m/>
    <m/>
    <m/>
    <s v="18:30"/>
    <s v="19:38"/>
  </r>
  <r>
    <s v="Bombay"/>
    <s v="BOM"/>
    <s v="Berlin"/>
    <s v="TXL"/>
    <x v="0"/>
    <s v="12345"/>
    <s v="12:50p"/>
    <s v="2:05p"/>
    <n v="622"/>
    <s v="Nonstop"/>
    <m/>
    <m/>
    <m/>
    <m/>
    <m/>
    <m/>
    <s v="12:50"/>
    <s v="14:05"/>
  </r>
  <r>
    <s v="Brussels"/>
    <s v="BRU"/>
    <s v="London Heathrow"/>
    <s v="LHR"/>
    <x v="3"/>
    <s v="DLY"/>
    <s v="9:20a"/>
    <s v="9:20a"/>
    <n v="107"/>
    <s v="Nonstop"/>
    <m/>
    <m/>
    <m/>
    <m/>
    <s v="No Local Traffic On Above Flight"/>
    <m/>
    <s v="09:20"/>
    <s v="09:20"/>
  </r>
  <r>
    <s v="Brussels"/>
    <s v="BRU"/>
    <s v="Stuttgart"/>
    <s v="STR"/>
    <x v="3"/>
    <s v="DLY"/>
    <s v="1:15p"/>
    <s v="2:15p"/>
    <n v="106"/>
    <s v="Nonstop"/>
    <m/>
    <m/>
    <m/>
    <m/>
    <m/>
    <m/>
    <s v="13:15"/>
    <s v="14:15"/>
  </r>
  <r>
    <s v="Budapest"/>
    <s v="BUD"/>
    <s v="Munich"/>
    <s v="MUN"/>
    <x v="15"/>
    <s v="46"/>
    <s v="9:15a"/>
    <s v="10:25a"/>
    <n v="79"/>
    <s v="Nonstop"/>
    <m/>
    <m/>
    <m/>
    <m/>
    <m/>
    <m/>
    <s v="09:15"/>
    <s v="10:25"/>
  </r>
  <r>
    <s v="Buenos Aires"/>
    <s v="EZE"/>
    <s v="Miami, FL"/>
    <s v="MIA"/>
    <x v="16"/>
    <s v="357"/>
    <s v="10:05p"/>
    <s v="6:00a"/>
    <n v="454"/>
    <s v="Nonstop"/>
    <m/>
    <m/>
    <m/>
    <m/>
    <s v="Ops WeFrSaSu Eff 7 Jul"/>
    <m/>
    <s v="22:05"/>
    <s v="06:00"/>
  </r>
  <r>
    <s v="Buenos Aires"/>
    <s v="EZE"/>
    <s v="Montevideo"/>
    <s v="MVD"/>
    <x v="15"/>
    <s v="46"/>
    <s v="12:20p"/>
    <s v="1:05p"/>
    <n v="201"/>
    <s v="Nonstop"/>
    <m/>
    <m/>
    <m/>
    <m/>
    <m/>
    <m/>
    <s v="12:20"/>
    <s v="13:05"/>
  </r>
  <r>
    <s v="Buenos Aires"/>
    <s v="EZE"/>
    <s v="Rio de Janeiro"/>
    <s v="GIG"/>
    <x v="2"/>
    <s v="146"/>
    <s v="6:00p"/>
    <s v="8:45p"/>
    <n v="202"/>
    <s v="Nonstop"/>
    <m/>
    <m/>
    <m/>
    <m/>
    <m/>
    <m/>
    <s v="18:00"/>
    <s v="20:45"/>
  </r>
  <r>
    <s v="Buffalo"/>
    <s v="BUF"/>
    <s v="New York, NY/Newark, NJ (K)"/>
    <s v="JFK"/>
    <x v="1"/>
    <s v="67"/>
    <s v="7:00a"/>
    <s v="8:00a"/>
    <n v="951"/>
    <s v="Nonstop"/>
    <m/>
    <m/>
    <m/>
    <m/>
    <m/>
    <m/>
    <s v="07:00"/>
    <s v="08:00"/>
  </r>
  <r>
    <s v="Buffalo"/>
    <s v="BUF"/>
    <s v="New York, NY/Newark, NJ (K)"/>
    <s v="JFK"/>
    <x v="3"/>
    <s v="DLY"/>
    <s v="10:00a"/>
    <s v="11:00a"/>
    <n v="955"/>
    <s v="Nonstop"/>
    <m/>
    <m/>
    <m/>
    <m/>
    <m/>
    <m/>
    <s v="10:00"/>
    <s v="11:00"/>
  </r>
  <r>
    <s v="Buffalo"/>
    <s v="BUF"/>
    <s v="New York, NY/Newark, NJ (K)"/>
    <s v="JFK"/>
    <x v="3"/>
    <s v="DLY"/>
    <s v="2:00p"/>
    <s v="3:05p"/>
    <n v="945"/>
    <s v="Nonstop"/>
    <m/>
    <m/>
    <m/>
    <m/>
    <m/>
    <m/>
    <s v="14:00"/>
    <s v="15:05"/>
  </r>
  <r>
    <s v="Buffalo"/>
    <s v="BUF"/>
    <s v="New York, NY/Newark, NJ (K)"/>
    <s v="JFK"/>
    <x v="3"/>
    <s v="DLY"/>
    <s v="8:10p"/>
    <s v="9:15p"/>
    <n v="949"/>
    <s v="Nonstop"/>
    <m/>
    <m/>
    <m/>
    <m/>
    <m/>
    <m/>
    <s v="20:10"/>
    <s v="21:15"/>
  </r>
  <r>
    <s v="Caracas"/>
    <s v="CCS"/>
    <s v="Miami, FL"/>
    <s v="MIA"/>
    <x v="3"/>
    <s v="DLY"/>
    <s v="8:15a"/>
    <s v="11:20a"/>
    <n v="442"/>
    <s v="Nonstop"/>
    <m/>
    <m/>
    <m/>
    <m/>
    <m/>
    <m/>
    <s v="08:15"/>
    <s v="11:20"/>
  </r>
  <r>
    <s v="Caracas"/>
    <s v="CCS"/>
    <s v="Miami, FL"/>
    <s v="MIA"/>
    <x v="1"/>
    <s v="67"/>
    <s v="6:45p"/>
    <s v="9:50p"/>
    <n v="444"/>
    <s v="Nonstop"/>
    <s v="28 Jul - 9 Sep"/>
    <m/>
    <m/>
    <m/>
    <m/>
    <m/>
    <s v="18:45"/>
    <s v="21:50"/>
  </r>
  <r>
    <s v="Caracas"/>
    <s v="CCS"/>
    <s v="New York, NY/Newark, NJ (K)"/>
    <s v="JFK"/>
    <x v="17"/>
    <s v="1367"/>
    <s v="9:00a"/>
    <s v="1:30p"/>
    <n v="218"/>
    <s v="Nonstop"/>
    <m/>
    <d v="2023-05-30T00:00:00"/>
    <m/>
    <m/>
    <m/>
    <m/>
    <s v="09:00"/>
    <s v="13:30"/>
  </r>
  <r>
    <s v="Caracas"/>
    <s v="CCS"/>
    <s v="New York, NY/Newark, NJ (K)"/>
    <s v="JFK"/>
    <x v="17"/>
    <s v="1367"/>
    <s v="9:00a"/>
    <s v="1:35p"/>
    <n v="218"/>
    <s v="Nonstop"/>
    <d v="2023-06-02T00:00:00"/>
    <d v="2023-09-09T00:00:00"/>
    <m/>
    <m/>
    <s v="Above Fit Ops ExTuFr Eff 23 Jul"/>
    <m/>
    <s v="09:00"/>
    <s v="13:35"/>
  </r>
  <r>
    <s v="Caracas"/>
    <s v="CCS"/>
    <s v="New York, NY/Newark, NJ (K)"/>
    <s v="JFK"/>
    <x v="17"/>
    <s v="1367"/>
    <s v="9:00a"/>
    <s v="1:35p"/>
    <n v="218"/>
    <s v="Nonstop"/>
    <d v="2023-09-10T00:00:00"/>
    <m/>
    <m/>
    <m/>
    <m/>
    <m/>
    <s v="09:00"/>
    <s v="13:35"/>
  </r>
  <r>
    <s v="Charlotte"/>
    <s v="CLT"/>
    <s v="Washington, DC (D)"/>
    <s v="IAD"/>
    <x v="3"/>
    <s v="DLY"/>
    <s v="12:40p"/>
    <s v="2:02p"/>
    <n v="550"/>
    <s v="Nonstop"/>
    <m/>
    <m/>
    <m/>
    <m/>
    <m/>
    <m/>
    <s v="12:40"/>
    <s v="14:02"/>
  </r>
  <r>
    <s v="Chicago"/>
    <s v="ORD"/>
    <s v="Minneapolis/St. Paul, MN"/>
    <s v="MSP"/>
    <x v="3"/>
    <s v="DLY"/>
    <s v="8:45p"/>
    <s v="10:10p"/>
    <n v="77"/>
    <s v="Nonstop"/>
    <m/>
    <m/>
    <m/>
    <m/>
    <m/>
    <m/>
    <s v="20:45"/>
    <s v="22:10"/>
  </r>
  <r>
    <s v="Chicago"/>
    <s v="ORD"/>
    <s v="New York, NY/Newark, NJ (K)"/>
    <s v="JFK"/>
    <x v="3"/>
    <s v="DLY"/>
    <s v="6:05a"/>
    <s v="8:59a"/>
    <n v="225"/>
    <s v="Nonstop"/>
    <m/>
    <m/>
    <m/>
    <m/>
    <m/>
    <m/>
    <s v="06:05"/>
    <s v="08:59"/>
  </r>
  <r>
    <s v="Chicago"/>
    <s v="ORD"/>
    <s v="New York, NY/Newark, NJ (K)"/>
    <s v="JFK"/>
    <x v="3"/>
    <s v="DLY"/>
    <s v="1:00p"/>
    <s v="4:10p"/>
    <n v="78"/>
    <s v="Nonstop"/>
    <m/>
    <m/>
    <m/>
    <m/>
    <m/>
    <m/>
    <s v="13:00"/>
    <s v="16:10"/>
  </r>
  <r>
    <s v="Chicago"/>
    <s v="ORD"/>
    <s v="San Francisco, CA"/>
    <s v="SFO"/>
    <x v="3"/>
    <s v="DLY"/>
    <s v="9:00a"/>
    <s v="11:24a"/>
    <n v="561"/>
    <s v="Nonstop"/>
    <m/>
    <m/>
    <m/>
    <m/>
    <m/>
    <m/>
    <s v="09:00"/>
    <s v="11:24"/>
  </r>
  <r>
    <s v="Cincinnati"/>
    <s v="CVG"/>
    <s v="Pittsburgh, PA"/>
    <s v="PIT"/>
    <x v="3"/>
    <s v="DLY"/>
    <s v="1:30p"/>
    <s v="2:20p"/>
    <n v="546"/>
    <s v="Nonstop"/>
    <m/>
    <m/>
    <m/>
    <m/>
    <m/>
    <m/>
    <s v="13:30"/>
    <s v="14:20"/>
  </r>
  <r>
    <s v="Cleveland"/>
    <s v="CLE"/>
    <s v="Nashville, TN"/>
    <s v="BNA"/>
    <x v="3"/>
    <s v="DLY"/>
    <s v="7:30p"/>
    <s v="7:50p"/>
    <n v="557"/>
    <s v="Nonstop"/>
    <m/>
    <m/>
    <m/>
    <m/>
    <m/>
    <m/>
    <s v="19:30"/>
    <s v="19:50"/>
  </r>
  <r>
    <s v="Cleveland"/>
    <s v="CLE"/>
    <s v="New York, NY/Newark, NJ"/>
    <m/>
    <x v="3"/>
    <s v="DLY"/>
    <s v="2:30p"/>
    <s v="3:58p"/>
    <n v="556"/>
    <s v="Nonstop"/>
    <m/>
    <m/>
    <m/>
    <m/>
    <m/>
    <m/>
    <s v="14:30"/>
    <s v="15:58"/>
  </r>
  <r>
    <s v="Dakar"/>
    <s v="DKR"/>
    <s v="MONROVIA"/>
    <s v="ROB"/>
    <x v="18"/>
    <s v="2"/>
    <s v="10:35a"/>
    <s v="12:30p"/>
    <n v="188"/>
    <s v="Nonstop"/>
    <m/>
    <m/>
    <m/>
    <m/>
    <m/>
    <m/>
    <s v="10:35"/>
    <s v="12:30"/>
  </r>
  <r>
    <s v="Dakar"/>
    <s v="DFW"/>
    <s v="NEW YORK/NJ"/>
    <m/>
    <x v="19"/>
    <s v="4"/>
    <s v="1:55a"/>
    <s v="5:40a"/>
    <n v="789"/>
    <s v="Nonstop"/>
    <m/>
    <m/>
    <m/>
    <m/>
    <m/>
    <m/>
    <s v="01:55"/>
    <s v="05:40"/>
  </r>
  <r>
    <s v="Dallas"/>
    <s v="DFW"/>
    <s v="AUSTIN, TX"/>
    <s v="AUS"/>
    <x v="3"/>
    <s v="DLY"/>
    <s v="9:20a"/>
    <s v="10:10a"/>
    <n v="1"/>
    <s v="Nonstop"/>
    <m/>
    <m/>
    <m/>
    <m/>
    <m/>
    <m/>
    <s v="09:20"/>
    <s v="10:10"/>
  </r>
  <r>
    <s v="Dallas"/>
    <s v="DFW"/>
    <s v="MIAMI, FL"/>
    <s v="MIA"/>
    <x v="3"/>
    <s v="DLY"/>
    <s v="6:10p"/>
    <s v="9:45p"/>
    <n v="576"/>
    <s v="Nonstop"/>
    <m/>
    <m/>
    <m/>
    <m/>
    <m/>
    <m/>
    <s v="18:10"/>
    <s v="21:45"/>
  </r>
  <r>
    <s v="Dallas"/>
    <s v="DFW"/>
    <s v="NEW YORK, NY/NEWARK, NJ"/>
    <m/>
    <x v="3"/>
    <s v="DLY"/>
    <s v="12:55p"/>
    <s v="5:20p"/>
    <n v="2"/>
    <s v="Nonstop"/>
    <m/>
    <m/>
    <m/>
    <m/>
    <m/>
    <m/>
    <s v="12:55"/>
    <s v="17:20"/>
  </r>
  <r>
    <s v="Dallas"/>
    <s v="DFW"/>
    <s v="SAN FRANCISCO, CA"/>
    <s v="SFO"/>
    <x v="3"/>
    <s v="DLY"/>
    <s v="9:55a"/>
    <s v="11:38a"/>
    <n v="575"/>
    <s v="Nonstop"/>
    <m/>
    <m/>
    <m/>
    <m/>
    <m/>
    <m/>
    <s v="09:55"/>
    <s v="11:38"/>
  </r>
  <r>
    <s v="Dallas"/>
    <s v="DFW"/>
    <s v="TOKYO Narita"/>
    <s v="NRT"/>
    <x v="3"/>
    <s v="DLY"/>
    <s v="9:55a"/>
    <s v="2:55p"/>
    <s v="575/77"/>
    <s v="Nonstop"/>
    <m/>
    <m/>
    <m/>
    <m/>
    <m/>
    <m/>
    <s v="09:55"/>
    <s v="14:55"/>
  </r>
  <r>
    <s v="Delhi"/>
    <s v="DEL"/>
    <s v="Frankfurt"/>
    <s v="FRA"/>
    <x v="20"/>
    <s v="136"/>
    <s v="5:25a"/>
    <s v="11:15a"/>
    <n v="73"/>
    <s v="Nonstop"/>
    <d v="2023-07-02T00:00:00"/>
    <d v="2023-08-01T00:00:00"/>
    <m/>
    <m/>
    <s v="This is odd"/>
    <m/>
    <s v="05:25"/>
    <s v="11:15"/>
  </r>
  <r>
    <s v="Delhi"/>
    <s v="DEL"/>
    <s v="Frankfurt"/>
    <s v="FRA"/>
    <x v="21"/>
    <s v="347"/>
    <s v="5:25a"/>
    <s v="11:15a"/>
    <n v="73"/>
    <s v="Nonstop"/>
    <m/>
    <m/>
    <d v="2023-07-01T00:00:00"/>
    <d v="2023-08-03T00:00:00"/>
    <s v="This is odd"/>
    <m/>
    <s v="05:25"/>
    <s v="11:15"/>
  </r>
  <r>
    <s v="Delhi"/>
    <s v="DEL"/>
    <s v="Karachi"/>
    <s v="KHI"/>
    <x v="21"/>
    <s v="347"/>
    <s v="3:45a"/>
    <s v="5:10a"/>
    <n v="73"/>
    <s v="Nonstop"/>
    <d v="2023-08-08T00:00:00"/>
    <m/>
    <d v="2023-09-06T00:00:00"/>
    <m/>
    <s v="Above At Ops ThSu Eff 6 Sep"/>
    <m/>
    <s v="03:45"/>
    <s v="05:10"/>
  </r>
  <r>
    <s v="Delhi"/>
    <s v="DEL"/>
    <s v="Karachi"/>
    <s v="KHI"/>
    <x v="22"/>
    <s v="47"/>
    <s v="3:45a"/>
    <s v="5:10a"/>
    <n v="73"/>
    <s v="Nonstop"/>
    <m/>
    <d v="2023-08-05T00:00:00"/>
    <m/>
    <m/>
    <m/>
    <m/>
    <s v="03:45"/>
    <s v="05:10"/>
  </r>
  <r>
    <s v="Detroit, MI"/>
    <s v="DTW"/>
    <s v="Indianapolis"/>
    <s v="IND"/>
    <x v="3"/>
    <s v="DLY"/>
    <s v="705p"/>
    <s v="705p"/>
    <n v="563"/>
    <s v="Nonstop"/>
    <m/>
    <m/>
    <m/>
    <m/>
    <m/>
    <m/>
    <m/>
    <m/>
  </r>
  <r>
    <s v="Detroit, MI"/>
    <s v="DTW"/>
    <s v="New York, NY/Newark, NJ (K)"/>
    <s v="JFK"/>
    <x v="3"/>
    <s v="DLY"/>
    <s v="700a"/>
    <s v="835a"/>
    <n v="108"/>
    <s v="Nonstop"/>
    <m/>
    <m/>
    <m/>
    <m/>
    <s v="JFK Infl L-LaGuardia E-Newark"/>
    <m/>
    <m/>
    <m/>
  </r>
  <r>
    <s v="Detroit, MI"/>
    <s v="DTW"/>
    <s v="New York, NY/Newark, NJ (K)"/>
    <s v="JFK"/>
    <x v="3"/>
    <s v="DLY"/>
    <s v="400p"/>
    <s v="540p"/>
    <n v="554"/>
    <s v="Nonstop"/>
    <m/>
    <m/>
    <m/>
    <m/>
    <s v="JFK Infl L-LaGuardia E-Newark"/>
    <m/>
    <m/>
    <m/>
  </r>
  <r>
    <s v="Dhahran"/>
    <s v="DHA"/>
    <s v="New York, NY/Newark, NJ (K)"/>
    <s v="JFK"/>
    <x v="23"/>
    <s v="23456"/>
    <s v="1159p"/>
    <s v="625a"/>
    <n v="66"/>
    <s v="Nonstop"/>
    <m/>
    <m/>
    <m/>
    <m/>
    <s v="JFK Int'l"/>
    <m/>
    <m/>
    <m/>
  </r>
  <r>
    <s v="Dubai"/>
    <s v="DBX"/>
    <s v="Bombay"/>
    <s v="BOM"/>
    <x v="24"/>
    <s v="14"/>
    <s v="1005p"/>
    <s v="220at"/>
    <m/>
    <s v="Nonstop"/>
    <m/>
    <m/>
    <m/>
    <m/>
    <m/>
    <m/>
    <m/>
    <m/>
  </r>
  <r>
    <s v="Dubai"/>
    <s v="DBX"/>
    <s v="Frankfurt"/>
    <s v="FRA"/>
    <x v="14"/>
    <s v="25"/>
    <s v="635a"/>
    <s v="1115a"/>
    <n v="73"/>
    <s v="Nonstop"/>
    <m/>
    <m/>
    <m/>
    <m/>
    <m/>
    <m/>
    <m/>
    <m/>
  </r>
  <r>
    <s v="Dubrovnik"/>
    <s v="DBV"/>
    <s v="Munich"/>
    <s v="MUN"/>
    <x v="25"/>
    <s v="23"/>
    <s v="850a"/>
    <s v="1025a"/>
    <n v="79"/>
    <s v="Nonstop"/>
    <m/>
    <m/>
    <m/>
    <m/>
    <m/>
    <m/>
    <m/>
    <m/>
  </r>
  <r>
    <s v="Dubrovnik"/>
    <s v="DBV"/>
    <s v="Zurich"/>
    <s v="ZRH"/>
    <x v="26"/>
    <s v="57"/>
    <s v="825a"/>
    <s v="1045a"/>
    <n v="93"/>
    <s v="Nonstop"/>
    <m/>
    <m/>
    <m/>
    <m/>
    <m/>
    <m/>
    <m/>
    <m/>
  </r>
  <r>
    <s v="Fort De France"/>
    <s v="FDF"/>
    <s v="NEW YORK, NY/NEWARK, NJ (K)"/>
    <s v="JFK"/>
    <x v="1"/>
    <s v="67"/>
    <s v="545p"/>
    <s v="1015p"/>
    <n v="234"/>
    <s v="Nonstop"/>
    <m/>
    <m/>
    <m/>
    <m/>
    <m/>
    <m/>
    <m/>
    <m/>
  </r>
  <r>
    <s v="Fort Myers, FL"/>
    <s v="RSW"/>
    <s v="ORLANDO, FL"/>
    <s v="MCO"/>
    <x v="3"/>
    <s v="DLY"/>
    <s v="900a"/>
    <s v="937a"/>
    <n v="540"/>
    <s v="Nonstop"/>
    <m/>
    <m/>
    <m/>
    <m/>
    <m/>
    <m/>
    <m/>
    <m/>
  </r>
  <r>
    <s v="Fort Myers, FL"/>
    <s v="RSW"/>
    <s v="TAMPA/ST. PETE, FL"/>
    <s v="TPA"/>
    <x v="3"/>
    <s v="DLY"/>
    <s v="200p"/>
    <s v="233p"/>
    <n v="516"/>
    <s v="Nonstop"/>
    <m/>
    <m/>
    <m/>
    <m/>
    <m/>
    <m/>
    <m/>
    <m/>
  </r>
  <r>
    <s v="Frankfurt"/>
    <s v="FRA"/>
    <s v="Berlin"/>
    <s v="TXL"/>
    <x v="0"/>
    <s v="12345"/>
    <s v="705a"/>
    <s v="805a"/>
    <n v="654"/>
    <s v="Nonstop"/>
    <m/>
    <m/>
    <m/>
    <m/>
    <m/>
    <m/>
    <m/>
    <m/>
  </r>
  <r>
    <s v="Frankfurt"/>
    <s v="FRA"/>
    <s v="Berlin"/>
    <s v="TXL"/>
    <x v="3"/>
    <s v="DLY"/>
    <s v="745a"/>
    <s v="845a"/>
    <n v="630"/>
    <s v="Nonstop"/>
    <m/>
    <m/>
    <m/>
    <m/>
    <m/>
    <m/>
    <m/>
    <m/>
  </r>
  <r>
    <s v="Frankfurt"/>
    <s v="FRA"/>
    <s v="Berlin"/>
    <s v="TXL"/>
    <x v="10"/>
    <s v="123456"/>
    <s v="755a"/>
    <s v="855a"/>
    <n v="638"/>
    <s v="Nonstop"/>
    <m/>
    <m/>
    <d v="2023-07-28T00:00:00"/>
    <d v="2023-08-30T00:00:00"/>
    <m/>
    <m/>
    <m/>
    <m/>
  </r>
  <r>
    <s v="Frankfurt"/>
    <s v="FRA"/>
    <s v="Berlin"/>
    <s v="TXL"/>
    <x v="3"/>
    <s v="DLY"/>
    <s v="845a"/>
    <s v="945a"/>
    <n v="632"/>
    <s v="Nonstop"/>
    <m/>
    <m/>
    <m/>
    <m/>
    <m/>
    <m/>
    <m/>
    <m/>
  </r>
  <r>
    <s v="Frankfurt"/>
    <s v="FRA"/>
    <s v="Berlin"/>
    <s v="TXL"/>
    <x v="3"/>
    <s v="DLY"/>
    <s v="1000a"/>
    <s v="1100a"/>
    <n v="634"/>
    <s v="Nonstop"/>
    <m/>
    <m/>
    <m/>
    <m/>
    <m/>
    <m/>
    <m/>
    <m/>
  </r>
  <r>
    <s v="Frankfurt"/>
    <s v="FRA"/>
    <s v="Berlin"/>
    <s v="TXL"/>
    <x v="3"/>
    <s v="DLY"/>
    <s v="1040a"/>
    <s v="1140a"/>
    <n v="636"/>
    <s v="Nonstop"/>
    <m/>
    <m/>
    <m/>
    <m/>
    <m/>
    <m/>
    <m/>
    <m/>
  </r>
  <r>
    <s v="Frankfurt"/>
    <s v="FRA"/>
    <s v="Berlin"/>
    <s v="TXL"/>
    <x v="3"/>
    <s v="DLY"/>
    <s v="1200n"/>
    <s v="100p"/>
    <n v="640"/>
    <s v="Nonstop"/>
    <m/>
    <m/>
    <m/>
    <m/>
    <m/>
    <m/>
    <m/>
    <m/>
  </r>
  <r>
    <s v="Frankfurt"/>
    <s v="FRA"/>
    <s v="Berlin"/>
    <s v="TXL"/>
    <x v="3"/>
    <s v="DLY"/>
    <s v="150p"/>
    <s v="250p"/>
    <n v="642"/>
    <s v="Nonstop"/>
    <m/>
    <m/>
    <m/>
    <m/>
    <m/>
    <m/>
    <m/>
    <m/>
  </r>
  <r>
    <s v="Frankfurt"/>
    <s v="FRA"/>
    <s v="Berlin"/>
    <s v="TXL"/>
    <x v="3"/>
    <s v="DLY"/>
    <s v="305p"/>
    <s v="405p"/>
    <n v="646"/>
    <s v="Nonstop"/>
    <m/>
    <m/>
    <m/>
    <m/>
    <m/>
    <m/>
    <m/>
    <m/>
  </r>
  <r>
    <s v="Frankfurt"/>
    <s v="FRA"/>
    <s v="Berlin"/>
    <s v="TXL"/>
    <x v="9"/>
    <s v="123457"/>
    <s v="405p"/>
    <s v="505p"/>
    <n v="648"/>
    <s v="Nonstop"/>
    <d v="2023-07-23T00:00:00"/>
    <d v="2023-08-30T00:00:00"/>
    <m/>
    <m/>
    <m/>
    <m/>
    <m/>
    <m/>
  </r>
  <r>
    <s v="Frankfurt"/>
    <s v="FRA"/>
    <s v="Berlin"/>
    <s v="TXL"/>
    <x v="3"/>
    <s v="DLY"/>
    <s v="505p"/>
    <s v="605p"/>
    <n v="650"/>
    <s v="Nonstop"/>
    <m/>
    <m/>
    <m/>
    <m/>
    <m/>
    <m/>
    <m/>
    <m/>
  </r>
  <r>
    <s v="Frankfurt"/>
    <s v="FRA"/>
    <s v="Berlin"/>
    <s v="TXL"/>
    <x v="9"/>
    <s v="123457"/>
    <s v="605p"/>
    <s v="705p"/>
    <n v="652"/>
    <s v="Nonstop"/>
    <d v="2023-07-23T00:00:00"/>
    <d v="2023-08-30T00:00:00"/>
    <m/>
    <m/>
    <m/>
    <m/>
    <m/>
    <m/>
  </r>
  <r>
    <s v="Frankfurt"/>
    <s v="FRA"/>
    <s v="Berlin"/>
    <s v="TXL"/>
    <x v="3"/>
    <s v="DLY"/>
    <s v="705p"/>
    <s v="805p"/>
    <n v="656"/>
    <s v="Nonstop"/>
    <m/>
    <m/>
    <m/>
    <m/>
    <m/>
    <m/>
    <m/>
    <m/>
  </r>
  <r>
    <s v="Frankfurt"/>
    <s v="FRA"/>
    <s v="Berlin"/>
    <s v="TXL"/>
    <x v="3"/>
    <s v="DLY"/>
    <s v="935p"/>
    <s v="1035p"/>
    <n v="658"/>
    <s v="Nonstop"/>
    <m/>
    <m/>
    <m/>
    <m/>
    <m/>
    <m/>
    <m/>
    <m/>
  </r>
  <r>
    <s v="Frankfurt"/>
    <s v="FRA"/>
    <s v="DELHI"/>
    <s v="DEL"/>
    <x v="27"/>
    <s v="236"/>
    <s v="1240p"/>
    <s v="1255at"/>
    <n v="66"/>
    <s v="Nonstop"/>
    <d v="2023-08-04T00:00:00"/>
    <d v="2023-09-05T00:00:00"/>
    <m/>
    <m/>
    <m/>
    <m/>
    <m/>
    <m/>
  </r>
  <r>
    <s v="Frankfurt"/>
    <s v="FRA"/>
    <s v="DELHI"/>
    <s v="DEL"/>
    <x v="28"/>
    <s v="36"/>
    <s v="1240p"/>
    <s v="1255at"/>
    <n v="66"/>
    <s v="Nonstop"/>
    <m/>
    <m/>
    <d v="2023-08-02T00:00:00"/>
    <d v="2023-09-07T00:00:00"/>
    <m/>
    <m/>
    <m/>
    <m/>
  </r>
  <r>
    <s v="Frankfurt"/>
    <s v="FRA"/>
    <s v="Dubai"/>
    <s v="DXB"/>
    <x v="24"/>
    <s v="14"/>
    <s v="1240p"/>
    <n v="8500"/>
    <n v="66"/>
    <s v="Nonstop"/>
    <m/>
    <m/>
    <m/>
    <m/>
    <m/>
    <m/>
    <m/>
    <s v="00:00"/>
  </r>
  <r>
    <s v="Frankfurt"/>
    <s v="FRA"/>
    <s v="Karachi"/>
    <s v="KHI"/>
    <x v="7"/>
    <s v="257"/>
    <s v="1240p"/>
    <s v="1120p"/>
    <n v="66"/>
    <s v="Nonstop"/>
    <d v="2023-07-03T00:00:00"/>
    <d v="2023-07-31T00:00:00"/>
    <m/>
    <m/>
    <m/>
    <m/>
    <m/>
    <m/>
  </r>
  <r>
    <s v="Frankfurt"/>
    <s v="FRA"/>
    <s v="Karachi"/>
    <s v="KHI"/>
    <x v="26"/>
    <s v="57"/>
    <s v="1240p"/>
    <s v="1120p"/>
    <n v="66"/>
    <s v="Nonstop"/>
    <m/>
    <m/>
    <d v="2023-07-02T00:00:00"/>
    <d v="2023-08-02T00:00:00"/>
    <m/>
    <m/>
    <m/>
    <m/>
  </r>
  <r>
    <s v="Frankfurt"/>
    <s v="FRA"/>
    <s v="London Heathrow"/>
    <s v="LHR"/>
    <x v="3"/>
    <s v="DLY"/>
    <s v="200p"/>
    <s v="235p"/>
    <n v="121"/>
    <s v="Nonstop"/>
    <m/>
    <m/>
    <m/>
    <m/>
    <m/>
    <m/>
    <m/>
    <m/>
  </r>
  <r>
    <s v="Frankfurt"/>
    <s v="FRA"/>
    <s v="London Heathrow"/>
    <s v="LHR"/>
    <x v="3"/>
    <s v="DLY"/>
    <s v="545p"/>
    <s v="615a"/>
    <n v="103"/>
    <s v="Nonstop"/>
    <d v="2023-05-30T00:00:00"/>
    <m/>
    <m/>
    <m/>
    <m/>
    <m/>
    <m/>
    <m/>
  </r>
  <r>
    <s v="Frankfurt"/>
    <s v="FRA"/>
    <s v="NEW YORK, NY/NEWARK, NJ (K)"/>
    <s v="JFK"/>
    <x v="3"/>
    <s v="DLY"/>
    <s v="800a"/>
    <s v="120p"/>
    <n v="67"/>
    <s v="Nonstop"/>
    <m/>
    <m/>
    <m/>
    <m/>
    <m/>
    <m/>
    <m/>
    <m/>
  </r>
  <r>
    <s v="Frankfurt"/>
    <s v="FRA"/>
    <s v="NEW YORK, NY/NEWARK, NJ (K)"/>
    <s v="JFK"/>
    <x v="3"/>
    <s v="DLY"/>
    <s v="120p"/>
    <s v="340p"/>
    <n v="73"/>
    <s v="Nonstop"/>
    <m/>
    <m/>
    <m/>
    <m/>
    <m/>
    <m/>
    <m/>
    <m/>
  </r>
  <r>
    <s v="Frankfurt"/>
    <s v="FRA"/>
    <s v="NEW YORK, NY/NEWARK, NJ (K)"/>
    <s v="JFK"/>
    <x v="3"/>
    <s v="DLY"/>
    <s v="545p"/>
    <s v="930p"/>
    <n v="103"/>
    <s v="Nonstop"/>
    <d v="2023-05-30T00:00:00"/>
    <m/>
    <m/>
    <m/>
    <m/>
    <m/>
    <m/>
    <m/>
  </r>
  <r>
    <s v="Freeport"/>
    <s v="FRE"/>
    <s v="NEW YORK, NY/NEWARK, NJ (K)"/>
    <s v="JFK"/>
    <x v="3"/>
    <s v="DLY"/>
    <s v="455p"/>
    <s v="725p"/>
    <n v="208"/>
    <s v="Nonstop"/>
    <d v="2023-06-01T00:00:00"/>
    <m/>
    <m/>
    <m/>
    <m/>
    <m/>
    <m/>
    <m/>
  </r>
  <r>
    <s v="Geneva"/>
    <s v="GEN"/>
    <s v="ISTANBUL"/>
    <s v="IST"/>
    <x v="3"/>
    <s v="DLY"/>
    <s v="1220p"/>
    <s v="415p"/>
    <n v="90"/>
    <s v="Nonstop"/>
    <m/>
    <m/>
    <m/>
    <m/>
    <m/>
    <m/>
    <m/>
    <m/>
  </r>
  <r>
    <s v="Geneva"/>
    <s v="GEN"/>
    <s v="NEW YORK, NY/NEWARK, NJ (K)"/>
    <s v="JFK"/>
    <x v="3"/>
    <s v="DLY"/>
    <s v="940a"/>
    <s v="205p"/>
    <n v="95"/>
    <s v="Nonstop"/>
    <m/>
    <m/>
    <m/>
    <m/>
    <m/>
    <m/>
    <m/>
    <m/>
  </r>
  <r>
    <s v="Geneva"/>
    <s v="GEN"/>
    <s v="ZURICH"/>
    <s v="ZRH"/>
    <x v="3"/>
    <s v="DLY"/>
    <s v="940a"/>
    <s v="1020a"/>
    <n v="91"/>
    <s v="Nonstop"/>
    <m/>
    <m/>
    <m/>
    <m/>
    <s v="No Local Traffic On Above Flight"/>
    <m/>
    <m/>
    <m/>
  </r>
  <r>
    <s v="Guatamala City"/>
    <s v="GUA"/>
    <s v="MEXICO CITY"/>
    <s v="MEX"/>
    <x v="3"/>
    <s v="DLY"/>
    <s v="540a"/>
    <s v="725a"/>
    <n v="21"/>
    <s v="Nonstop"/>
    <m/>
    <m/>
    <m/>
    <m/>
    <m/>
    <m/>
    <m/>
    <m/>
  </r>
  <r>
    <s v="Guatamala City"/>
    <s v="GUA"/>
    <s v="MIAMI, FL"/>
    <s v="MIA"/>
    <x v="3"/>
    <s v="DLY"/>
    <s v="800a"/>
    <s v="1225p"/>
    <n v="404"/>
    <s v="Nonstop"/>
    <m/>
    <m/>
    <m/>
    <m/>
    <m/>
    <m/>
    <m/>
    <m/>
  </r>
  <r>
    <s v="Hamburg"/>
    <s v="HAM"/>
    <s v="BERLIN"/>
    <s v="TXL"/>
    <x v="0"/>
    <s v="12345"/>
    <s v="635a"/>
    <s v="715a"/>
    <n v="600"/>
    <s v="Nonstop"/>
    <m/>
    <m/>
    <d v="2023-07-21T00:00:00"/>
    <d v="2023-08-30T00:00:00"/>
    <m/>
    <m/>
    <m/>
    <m/>
  </r>
  <r>
    <s v="Hamburg"/>
    <s v="HAM"/>
    <s v="BERLIN"/>
    <s v="TXL"/>
    <x v="3"/>
    <s v="DLY"/>
    <s v="800a"/>
    <s v="840a"/>
    <n v="602"/>
    <s v="Nonstop"/>
    <m/>
    <m/>
    <m/>
    <m/>
    <m/>
    <m/>
    <m/>
    <m/>
  </r>
  <r>
    <s v="Hamburg"/>
    <s v="HAM"/>
    <s v="BERLIN"/>
    <s v="TXL"/>
    <x v="3"/>
    <s v="DLY"/>
    <s v="1105a"/>
    <s v="1145a"/>
    <n v="606"/>
    <s v="Nonstop"/>
    <m/>
    <m/>
    <m/>
    <m/>
    <m/>
    <m/>
    <m/>
    <m/>
  </r>
  <r>
    <s v="Hamburg"/>
    <s v="HAM"/>
    <s v="BERLIN"/>
    <s v="TXL"/>
    <x v="3"/>
    <s v="DLY"/>
    <s v="120p"/>
    <s v="200p"/>
    <n v="102"/>
    <s v="Nonstop"/>
    <m/>
    <m/>
    <m/>
    <m/>
    <m/>
    <m/>
    <m/>
    <m/>
  </r>
  <r>
    <s v="Hamburg"/>
    <s v="HAM"/>
    <s v="BERLIN"/>
    <s v="TXL"/>
    <x v="3"/>
    <s v="DLY"/>
    <s v="230p"/>
    <s v="310p"/>
    <n v="610"/>
    <s v="Nonstop"/>
    <m/>
    <m/>
    <m/>
    <m/>
    <m/>
    <m/>
    <m/>
    <m/>
  </r>
  <r>
    <s v="Hamburg"/>
    <s v="HAM"/>
    <s v="BERLIN"/>
    <s v="TXL"/>
    <x v="3"/>
    <s v="DLY"/>
    <s v="430p"/>
    <s v="510p"/>
    <n v="612"/>
    <s v="Nonstop"/>
    <m/>
    <m/>
    <m/>
    <m/>
    <m/>
    <m/>
    <m/>
    <m/>
  </r>
  <r>
    <s v="Hamburg"/>
    <s v="HAM"/>
    <s v="BERLIN"/>
    <s v="TXL"/>
    <x v="3"/>
    <s v="DLY"/>
    <s v="635p"/>
    <s v="715p"/>
    <n v="614"/>
    <s v="Nonstop"/>
    <m/>
    <m/>
    <m/>
    <m/>
    <m/>
    <m/>
    <m/>
    <m/>
  </r>
  <r>
    <s v="Hamburg"/>
    <s v="HAM"/>
    <s v="BERLIN"/>
    <s v="TXL"/>
    <x v="9"/>
    <s v="123457"/>
    <s v="830p"/>
    <s v="910p"/>
    <n v="616"/>
    <s v="Nonstop"/>
    <m/>
    <m/>
    <m/>
    <m/>
    <m/>
    <m/>
    <m/>
    <m/>
  </r>
  <r>
    <s v="Hamburg"/>
    <s v="HAM"/>
    <s v="LONDON OT Heathrow"/>
    <s v="LHR"/>
    <x v="3"/>
    <s v="DLY"/>
    <s v="900a"/>
    <s v="930a"/>
    <n v="101"/>
    <s v="Nonstop"/>
    <m/>
    <m/>
    <m/>
    <m/>
    <m/>
    <m/>
    <m/>
    <m/>
  </r>
  <r>
    <s v="Hamburg"/>
    <s v="HAM"/>
    <s v="LONDON OT Heathrow"/>
    <s v="LHR"/>
    <x v="3"/>
    <s v="DLY"/>
    <s v="1130a"/>
    <s v="1200n"/>
    <n v="1"/>
    <s v="Nonstop"/>
    <d v="2023-05-30T00:00:00"/>
    <m/>
    <m/>
    <m/>
    <m/>
    <m/>
    <m/>
    <m/>
  </r>
  <r>
    <s v="Hartford"/>
    <s v="BDL"/>
    <s v="NEW YORK, NY/NEWARK, NJ (K)"/>
    <s v="JFK"/>
    <x v="3"/>
    <s v="DLY"/>
    <s v="715a"/>
    <s v="800a"/>
    <n v="948"/>
    <s v="Nonstop"/>
    <m/>
    <m/>
    <m/>
    <m/>
    <m/>
    <m/>
    <m/>
    <m/>
  </r>
  <r>
    <s v="Hartford"/>
    <s v="BDL"/>
    <s v="NEW YORK, NY/NEWARK, NJ (K)"/>
    <s v="JFK"/>
    <x v="3"/>
    <s v="DLY"/>
    <s v="115p"/>
    <s v="200p"/>
    <n v="914"/>
    <s v="Nonstop"/>
    <m/>
    <m/>
    <m/>
    <m/>
    <m/>
    <m/>
    <m/>
    <m/>
  </r>
  <r>
    <s v="Hartford"/>
    <s v="BDL"/>
    <s v="NEW YORK, NY/NEWARK, NJ (K)"/>
    <s v="JFK"/>
    <x v="3"/>
    <s v="DLY"/>
    <s v="340p"/>
    <s v="430p"/>
    <n v="916"/>
    <s v="Nonstop"/>
    <m/>
    <m/>
    <m/>
    <m/>
    <m/>
    <m/>
    <m/>
    <m/>
  </r>
  <r>
    <s v="Hong Kong"/>
    <s v="HKG"/>
    <s v="SAN FRANCISCO, CA"/>
    <s v="SFO"/>
    <x v="3"/>
    <s v="DLY"/>
    <s v="1245p"/>
    <s v="1000a"/>
    <n v="6"/>
    <s v="Nonstop"/>
    <m/>
    <m/>
    <m/>
    <m/>
    <m/>
    <m/>
    <m/>
    <m/>
  </r>
  <r>
    <s v="Hong Kong"/>
    <s v="HKG"/>
    <s v="SINGAPORE"/>
    <s v="SIN"/>
    <x v="3"/>
    <s v="DLY"/>
    <s v="855p"/>
    <s v="1220at"/>
    <n v="9"/>
    <s v="Nonstop"/>
    <m/>
    <m/>
    <m/>
    <m/>
    <m/>
    <m/>
    <m/>
    <m/>
  </r>
  <r>
    <s v="Hong Kong"/>
    <s v="HKG"/>
    <s v="TOKYO (Narita)"/>
    <s v="NRT"/>
    <x v="3"/>
    <s v="DLY"/>
    <s v="1155a"/>
    <s v="450p"/>
    <n v="22"/>
    <s v="Nonstop"/>
    <m/>
    <m/>
    <m/>
    <m/>
    <m/>
    <m/>
    <m/>
    <m/>
  </r>
  <r>
    <s v="Honolulu, HI"/>
    <s v="HNL"/>
    <s v="LOS ANGELES, CA"/>
    <s v="LAX"/>
    <x v="3"/>
    <s v="DLY"/>
    <s v="830a"/>
    <s v="440p"/>
    <n v="812"/>
    <s v="Nonstop"/>
    <m/>
    <m/>
    <m/>
    <m/>
    <m/>
    <m/>
    <m/>
    <m/>
  </r>
  <r>
    <s v="Honolulu, HI"/>
    <s v="HNL"/>
    <s v="OSAKA"/>
    <s v="OSA"/>
    <x v="2"/>
    <s v="146"/>
    <s v="1040a"/>
    <s v="205pt"/>
    <n v="9"/>
    <s v="Nonstop"/>
    <m/>
    <m/>
    <m/>
    <m/>
    <m/>
    <m/>
    <m/>
    <m/>
  </r>
  <r>
    <s v="Honolulu, HI"/>
    <s v="HNL"/>
    <s v="SAN FRANCISCO, CA"/>
    <s v="SFO"/>
    <x v="3"/>
    <s v="DLY"/>
    <s v="1045p"/>
    <s v="634a"/>
    <n v="6"/>
    <s v="Nonstop"/>
    <m/>
    <m/>
    <m/>
    <m/>
    <m/>
    <m/>
    <m/>
    <m/>
  </r>
  <r>
    <s v="Honolulu, HI"/>
    <s v="HNL"/>
    <s v="SYDNEY"/>
    <s v="SYD"/>
    <x v="29"/>
    <s v="1"/>
    <s v="100a"/>
    <s v="655a"/>
    <n v="917"/>
    <s v="Nonstop"/>
    <m/>
    <m/>
    <m/>
    <m/>
    <m/>
    <m/>
    <m/>
    <m/>
  </r>
  <r>
    <s v="Honolulu, HI"/>
    <s v="HNL"/>
    <s v="TOKYO (Narita)"/>
    <s v="NRT"/>
    <x v="3"/>
    <s v="DLY"/>
    <s v="1130a"/>
    <s v="225p"/>
    <n v="7"/>
    <s v="Nonstop"/>
    <m/>
    <m/>
    <m/>
    <m/>
    <m/>
    <m/>
    <m/>
    <m/>
  </r>
  <r>
    <s v="Houston, TX"/>
    <s v="IAH"/>
    <s v="LOS ANGELES, CA"/>
    <s v="LAX"/>
    <x v="3"/>
    <s v="DLY"/>
    <s v="745p"/>
    <s v="859p"/>
    <n v="715"/>
    <s v="Nonstop"/>
    <m/>
    <m/>
    <m/>
    <m/>
    <m/>
    <m/>
    <m/>
    <m/>
  </r>
  <r>
    <s v="Houston, TX"/>
    <s v="IAH"/>
    <s v="MEXICO CITY"/>
    <s v="MEX"/>
    <x v="3"/>
    <s v="DLY"/>
    <s v="1000p"/>
    <s v="1055p"/>
    <n v="51"/>
    <s v="Nonstop"/>
    <m/>
    <m/>
    <m/>
    <m/>
    <m/>
    <m/>
    <m/>
    <m/>
  </r>
  <r>
    <s v="Houston, TX"/>
    <s v="IAH"/>
    <s v="MIAMI, FL"/>
    <s v="MIA"/>
    <x v="3"/>
    <s v="DLY"/>
    <s v="1000a"/>
    <s v="115p"/>
    <n v="409"/>
    <s v="Nonstop"/>
    <m/>
    <m/>
    <m/>
    <m/>
    <m/>
    <m/>
    <m/>
    <m/>
  </r>
  <r>
    <s v="Houston, TX"/>
    <s v="IAH"/>
    <s v="MIAMI, FL"/>
    <s v="MIA"/>
    <x v="3"/>
    <s v="DLY"/>
    <s v="600p"/>
    <s v="915p"/>
    <n v="722"/>
    <s v="Nonstop"/>
    <m/>
    <m/>
    <m/>
    <m/>
    <m/>
    <m/>
    <m/>
    <m/>
  </r>
  <r>
    <s v="Houston, TX"/>
    <s v="IAH"/>
    <s v="NEW ORLEANS, LA"/>
    <s v="MSY"/>
    <x v="3"/>
    <s v="DLY"/>
    <s v="645p"/>
    <s v="745p"/>
    <n v="12"/>
    <s v="Nonstop"/>
    <m/>
    <m/>
    <m/>
    <m/>
    <m/>
    <m/>
    <m/>
    <m/>
  </r>
  <r>
    <s v="Houston, TX"/>
    <s v="IAH"/>
    <s v="NEW YORK, NY/NEWARK, NJ (K)"/>
    <s v="JFK"/>
    <x v="3"/>
    <s v="DLY"/>
    <s v="1245p"/>
    <s v="500p"/>
    <n v="52"/>
    <s v="Nonstop"/>
    <m/>
    <m/>
    <m/>
    <m/>
    <m/>
    <m/>
    <m/>
    <m/>
  </r>
  <r>
    <s v="Houston, TX"/>
    <s v="IAH"/>
    <s v="NEW YORK, NY/NEWARK, NJ (K)"/>
    <s v="JFK"/>
    <x v="3"/>
    <s v="DLY"/>
    <s v="420p"/>
    <s v="843p"/>
    <n v="24"/>
    <s v="Nonstop"/>
    <m/>
    <m/>
    <m/>
    <m/>
    <m/>
    <m/>
    <m/>
    <m/>
  </r>
  <r>
    <s v="Houston, TX"/>
    <s v="IAH"/>
    <s v="SAN FRANCISCO, CA"/>
    <s v="SFO"/>
    <x v="3"/>
    <s v="DLY"/>
    <s v="900a"/>
    <s v="1045a"/>
    <n v="11"/>
    <s v="Nonstop"/>
    <m/>
    <m/>
    <m/>
    <m/>
    <m/>
    <m/>
    <m/>
    <m/>
  </r>
  <r>
    <s v="Indianapolis, IN"/>
    <s v="IND"/>
    <s v="DETROIT, MI Metropolitan"/>
    <s v="DTW"/>
    <x v="3"/>
    <s v="DLY"/>
    <s v="120p"/>
    <s v="315p"/>
    <n v="554"/>
    <s v="Nonstop"/>
    <m/>
    <m/>
    <m/>
    <m/>
    <m/>
    <m/>
    <m/>
    <m/>
  </r>
  <r>
    <s v="Indianapolis, IN"/>
    <s v="IND"/>
    <s v="NEW YORK, NY/NEWARK, NJ (K)"/>
    <s v="JFK"/>
    <x v="3"/>
    <s v="DLY"/>
    <s v="120p"/>
    <s v="540p"/>
    <n v="554"/>
    <s v="Nonstop"/>
    <m/>
    <m/>
    <m/>
    <m/>
    <m/>
    <m/>
    <m/>
    <m/>
  </r>
  <r>
    <s v="Instanbul"/>
    <s v="IST"/>
    <s v="GENEVA"/>
    <s v="GVA"/>
    <x v="3"/>
    <s v="DLY"/>
    <s v="700a"/>
    <s v="910a"/>
    <n v="91"/>
    <s v="Nonstop"/>
    <m/>
    <m/>
    <m/>
    <m/>
    <m/>
    <m/>
    <m/>
    <m/>
  </r>
  <r>
    <s v="Johnnesburg"/>
    <s v="JNB"/>
    <s v="MONROVIA Roberts International"/>
    <s v="ROB"/>
    <x v="30"/>
    <s v="256"/>
    <s v="730p"/>
    <s v="1225at"/>
    <n v="737"/>
    <s v="Nonstop"/>
    <d v="2023-06-05T00:00:00"/>
    <m/>
    <m/>
    <m/>
    <s v="No Local Traffic On Above Flight"/>
    <m/>
    <m/>
    <m/>
  </r>
  <r>
    <s v="Johnnesburg"/>
    <s v="JNB"/>
    <s v="MONROVIA Roberts International"/>
    <s v="ROB"/>
    <x v="14"/>
    <s v="25"/>
    <s v="730p"/>
    <s v="1225at"/>
    <n v="111"/>
    <s v="Nonstop"/>
    <m/>
    <s v="After 1 Jun"/>
    <m/>
    <m/>
    <s v="No Local Traffic On Above Flight"/>
    <m/>
    <m/>
    <m/>
  </r>
  <r>
    <s v="Karachi"/>
    <s v="KHI"/>
    <s v="ST. LOUIS, MO"/>
    <s v="STL"/>
    <x v="3"/>
    <s v="DLY"/>
    <s v="1235p"/>
    <s v="125p"/>
    <n v="538"/>
    <s v="Nonstop"/>
    <m/>
    <m/>
    <m/>
    <m/>
    <m/>
    <m/>
    <m/>
    <m/>
  </r>
  <r>
    <s v="Karachi"/>
    <s v="KHI"/>
    <s v="DELHI"/>
    <s v="DEL"/>
    <x v="20"/>
    <s v="136"/>
    <s v="1230a"/>
    <s v="250a"/>
    <n v="66"/>
    <s v="Nonstop"/>
    <d v="2023-07-04T00:00:00"/>
    <d v="2023-08-01T00:00:00"/>
    <m/>
    <m/>
    <m/>
    <m/>
    <m/>
    <m/>
  </r>
  <r>
    <s v="Karachi"/>
    <s v="KHI"/>
    <s v="DELHI"/>
    <s v="DEL"/>
    <x v="31"/>
    <s v="16"/>
    <s v="1230a"/>
    <s v="250a"/>
    <n v="66"/>
    <s v="Nonstop"/>
    <m/>
    <m/>
    <d v="2023-07-03T00:00:00"/>
    <d v="2023-08-03T00:00:00"/>
    <m/>
    <m/>
    <m/>
    <m/>
  </r>
  <r>
    <s v="Lagos"/>
    <s v="LOS"/>
    <s v="FRANKFURT"/>
    <s v="FRA"/>
    <x v="21"/>
    <s v="347"/>
    <s v="615a"/>
    <s v="1115a"/>
    <n v="73"/>
    <s v="Nonstop"/>
    <d v="2023-08-08T00:00:00"/>
    <m/>
    <m/>
    <m/>
    <s v="Above Flt Ops ThuSu Eff 6 Sep"/>
    <m/>
    <m/>
    <m/>
  </r>
  <r>
    <s v="Lagos"/>
    <s v="LOS"/>
    <s v="FRANKFURT"/>
    <s v="FRA"/>
    <x v="22"/>
    <s v="47"/>
    <s v="615a"/>
    <s v="1115a"/>
    <n v="73"/>
    <s v="Nonstop"/>
    <m/>
    <s v="After 5 Aug"/>
    <m/>
    <m/>
    <m/>
    <m/>
    <m/>
    <m/>
  </r>
  <r>
    <s v="Lagos"/>
    <s v="LOS"/>
    <s v="MONROVIA Roberts International"/>
    <s v="ROB"/>
    <x v="32"/>
    <s v="3"/>
    <s v="830p"/>
    <s v="940p"/>
    <n v="189"/>
    <s v="Nonstop"/>
    <m/>
    <m/>
    <m/>
    <m/>
    <m/>
    <m/>
    <m/>
    <m/>
  </r>
  <r>
    <s v="Lagos"/>
    <s v="LOS"/>
    <s v="NAIROBI Jomo Kenyatta International"/>
    <s v="NAI"/>
    <x v="18"/>
    <s v="2"/>
    <s v="620p"/>
    <s v="120at"/>
    <n v="188"/>
    <s v="Nonstop"/>
    <m/>
    <m/>
    <m/>
    <m/>
    <m/>
    <m/>
    <m/>
    <m/>
  </r>
  <r>
    <s v="London"/>
    <s v="LHR"/>
    <s v="BRUSSELS"/>
    <s v="BRU"/>
    <x v="3"/>
    <s v="DLY"/>
    <s v="1030a"/>
    <s v="1225p"/>
    <n v="106"/>
    <s v="Nonstop"/>
    <m/>
    <m/>
    <m/>
    <m/>
    <s v="No Local Traffic"/>
    <m/>
    <m/>
    <m/>
  </r>
  <r>
    <s v="London"/>
    <s v="LHR"/>
    <s v="FRANKFURT"/>
    <s v="FRA"/>
    <x v="5"/>
    <s v="235"/>
    <s v="840a"/>
    <s v="1115a"/>
    <n v="98"/>
    <s v="Nonstop"/>
    <m/>
    <s v="After 30 May"/>
    <m/>
    <m/>
    <m/>
    <m/>
    <m/>
    <m/>
  </r>
  <r>
    <s v="London"/>
    <s v="LHR"/>
    <s v="FRANKFURT"/>
    <s v="FRA"/>
    <x v="3"/>
    <s v="DLY"/>
    <s v="840a"/>
    <s v="1115a"/>
    <n v="120"/>
    <s v="Nonstop"/>
    <d v="2023-05-31T00:00:00"/>
    <m/>
    <m/>
    <m/>
    <m/>
    <m/>
    <m/>
    <m/>
  </r>
  <r>
    <s v="London"/>
    <s v="LHR"/>
    <s v="LOS ANGELES, CA"/>
    <s v="LAX"/>
    <x v="3"/>
    <s v="DLY"/>
    <s v="415p"/>
    <s v="715p"/>
    <n v="121"/>
    <s v="Nonstop"/>
    <d v="2023-05-30T00:00:00"/>
    <m/>
    <m/>
    <m/>
    <m/>
    <m/>
    <m/>
    <m/>
  </r>
  <r>
    <s v="London"/>
    <s v="LHR"/>
    <s v="LOS ANGELES, CA"/>
    <s v="LAX"/>
    <x v="33"/>
    <s v="1467"/>
    <s v="415p"/>
    <s v="715p"/>
    <n v="121"/>
    <s v="Nonstop"/>
    <m/>
    <s v="After 28 May"/>
    <m/>
    <m/>
    <m/>
    <m/>
    <m/>
    <m/>
  </r>
  <r>
    <s v="London"/>
    <s v="LHR"/>
    <s v="MIAMI, FL"/>
    <s v="MIA"/>
    <x v="3"/>
    <s v="DLY"/>
    <s v="1010a"/>
    <s v="220p"/>
    <n v="99"/>
    <s v="Nonstop"/>
    <d v="1984-04-29T00:00:00"/>
    <m/>
    <m/>
    <m/>
    <m/>
    <m/>
    <m/>
    <m/>
  </r>
  <r>
    <s v="London"/>
    <s v="LHR"/>
    <s v="New York, NY/Newark, NJ (K-JFK)"/>
    <s v="JFK"/>
    <x v="3"/>
    <s v="DLY"/>
    <s v="1100a"/>
    <s v="130p"/>
    <n v="101"/>
    <s v="Nonstop"/>
    <d v="1984-04-29T00:00:00"/>
    <m/>
    <m/>
    <m/>
    <m/>
    <m/>
    <m/>
    <m/>
  </r>
  <r>
    <s v="London"/>
    <s v="LHR"/>
    <s v="New York, NY/Newark, NJ (K-JFK)"/>
    <s v="JFK"/>
    <x v="3"/>
    <s v="DLY"/>
    <s v="200p"/>
    <s v="430p"/>
    <n v="1"/>
    <s v="Nonstop"/>
    <d v="1984-04-29T00:00:00"/>
    <m/>
    <m/>
    <m/>
    <m/>
    <m/>
    <m/>
    <m/>
  </r>
  <r>
    <s v="London"/>
    <s v="LHR"/>
    <s v="New York, NY/Newark, NJ (K-JFK)"/>
    <s v="JFK"/>
    <x v="3"/>
    <s v="DLY"/>
    <s v="700p"/>
    <s v="930p"/>
    <n v="103"/>
    <s v="Nonstop"/>
    <d v="1984-04-29T00:00:00"/>
    <m/>
    <m/>
    <m/>
    <m/>
    <m/>
    <m/>
    <m/>
  </r>
  <r>
    <s v="London"/>
    <s v="LHR"/>
    <s v="SAN FRANCISCO, CA"/>
    <s v="SFO"/>
    <x v="3"/>
    <s v="DLY"/>
    <s v="1245p"/>
    <s v="330p"/>
    <n v="125"/>
    <s v="Nonstop"/>
    <d v="2023-05-30T00:00:00"/>
    <m/>
    <m/>
    <m/>
    <m/>
    <m/>
    <m/>
    <m/>
  </r>
  <r>
    <s v="London"/>
    <s v="LHR"/>
    <s v="SAN FRANCISCO, CA"/>
    <s v="SFO"/>
    <x v="34"/>
    <s v="17"/>
    <s v="1245p"/>
    <s v="330p"/>
    <n v="125"/>
    <s v="Nonstop"/>
    <m/>
    <s v="After 28 May"/>
    <m/>
    <m/>
    <m/>
    <m/>
    <m/>
    <m/>
  </r>
  <r>
    <s v="London"/>
    <s v="LHR"/>
    <s v="SAN FRANCISCO, CA"/>
    <s v="SFO"/>
    <x v="5"/>
    <s v="235"/>
    <s v="415p"/>
    <s v="700p"/>
    <n v="121"/>
    <s v="Nonstop"/>
    <m/>
    <s v="After 29 May"/>
    <m/>
    <m/>
    <m/>
    <m/>
    <m/>
    <m/>
  </r>
  <r>
    <s v="London"/>
    <s v="LHR"/>
    <s v="SEATTLE/TACOMA, WA"/>
    <s v="SEA"/>
    <x v="15"/>
    <s v="46"/>
    <s v="1115a"/>
    <s v="1245p"/>
    <n v="125"/>
    <s v="Nonstop"/>
    <d v="1984-04-29T00:00:00"/>
    <s v="After 26 May"/>
    <m/>
    <m/>
    <m/>
    <m/>
    <m/>
    <m/>
  </r>
  <r>
    <s v="London"/>
    <s v="LHR"/>
    <s v="SEATTLE/TACOMA, WA"/>
    <s v="SEA"/>
    <x v="35"/>
    <s v="34567"/>
    <s v="430p"/>
    <s v="600p"/>
    <n v="123"/>
    <s v="Nonstop"/>
    <d v="2023-05-30T00:00:00"/>
    <m/>
    <m/>
    <m/>
    <m/>
    <m/>
    <m/>
    <m/>
  </r>
  <r>
    <s v="Los Angeles"/>
    <s v="LAX"/>
    <s v="HONOLULU, HI"/>
    <s v="HNL"/>
    <x v="3"/>
    <s v="DLY"/>
    <s v="845p"/>
    <s v="1113p"/>
    <n v="811"/>
    <s v="Nonstop"/>
    <d v="1984-04-29T00:00:00"/>
    <m/>
    <m/>
    <m/>
    <m/>
    <m/>
    <m/>
    <m/>
  </r>
  <r>
    <s v="Los Angeles"/>
    <s v="LAX"/>
    <s v="HOUSTON, TX Intercontinental"/>
    <s v="IAH"/>
    <x v="3"/>
    <s v="DLY"/>
    <s v="145p"/>
    <s v="650p"/>
    <n v="702"/>
    <s v="Nonstop"/>
    <d v="1984-04-29T00:00:00"/>
    <m/>
    <m/>
    <m/>
    <m/>
    <m/>
    <m/>
    <m/>
  </r>
  <r>
    <s v="Los Angeles"/>
    <s v="LAX"/>
    <s v="LONDON OT Heathrow"/>
    <s v="LHR"/>
    <x v="3"/>
    <s v="DLY"/>
    <s v="145p"/>
    <s v="750a"/>
    <n v="720"/>
    <s v="Nonstop"/>
    <d v="2023-05-30T00:00:00"/>
    <m/>
    <m/>
    <m/>
    <m/>
    <m/>
    <m/>
    <m/>
  </r>
  <r>
    <s v="Los Angeles"/>
    <s v="LAX"/>
    <s v="LONDON OT Heathrow"/>
    <s v="LHR"/>
    <x v="36"/>
    <s v="3567"/>
    <s v="145p"/>
    <s v="750a"/>
    <n v="720"/>
    <s v="Nonstop"/>
    <m/>
    <s v="After 27 May"/>
    <m/>
    <m/>
    <m/>
    <m/>
    <m/>
    <m/>
  </r>
  <r>
    <s v="Los Angeles"/>
    <s v="LAX"/>
    <s v="MEXICO CITY"/>
    <s v="MEX"/>
    <x v="3"/>
    <s v="DLY"/>
    <s v="1245p"/>
    <s v="515p"/>
    <n v="22"/>
    <s v="Nonstop"/>
    <d v="1984-04-29T00:00:00"/>
    <m/>
    <m/>
    <m/>
    <m/>
    <m/>
    <m/>
    <m/>
  </r>
  <r>
    <s v="Los Angeles"/>
    <s v="LAX"/>
    <s v="MIAMI, FL"/>
    <s v="MIA"/>
    <x v="3"/>
    <s v="DLY"/>
    <s v="130p"/>
    <s v="905p"/>
    <n v="441"/>
    <s v="Nonstop"/>
    <d v="1984-04-29T00:00:00"/>
    <m/>
    <m/>
    <m/>
    <m/>
    <m/>
    <m/>
    <m/>
  </r>
  <r>
    <s v="Los Angeles"/>
    <s v="LAX"/>
    <s v="SAN FRANCISCO, CA"/>
    <s v="SFO"/>
    <x v="37"/>
    <s v="124"/>
    <s v="300p"/>
    <s v="415p"/>
    <n v="120"/>
    <s v="Nonstop"/>
    <d v="1984-04-29T00:00:00"/>
    <s v="After 29 May"/>
    <m/>
    <m/>
    <m/>
    <m/>
    <m/>
    <m/>
  </r>
  <r>
    <s v="Los Angeles"/>
    <s v="LAX"/>
    <s v="SYDNEY"/>
    <s v="SYD"/>
    <x v="38"/>
    <s v="135"/>
    <s v="1020p"/>
    <s v="605a"/>
    <n v="676"/>
    <s v="Nonstop"/>
    <d v="1984-04-29T00:00:00"/>
    <m/>
    <m/>
    <m/>
    <m/>
    <m/>
    <m/>
    <m/>
  </r>
  <r>
    <s v="Los Angeles"/>
    <s v="LAX"/>
    <s v="TOKYO (Narita)"/>
    <s v="NRT"/>
    <x v="3"/>
    <s v="DLY"/>
    <s v="1130a"/>
    <s v="245p"/>
    <n v="27"/>
    <s v="Nonstop"/>
    <d v="1984-04-29T00:00:00"/>
    <m/>
    <m/>
    <m/>
    <m/>
    <m/>
    <m/>
    <m/>
  </r>
  <r>
    <s v="Manila"/>
    <s v="MNL"/>
    <s v="TOKYO"/>
    <s v="NRT"/>
    <x v="38"/>
    <s v="135"/>
    <s v="1125a"/>
    <s v="430p"/>
    <n v="12"/>
    <s v="Nonstop"/>
    <d v="1984-04-29T00:00:00"/>
    <m/>
    <m/>
    <m/>
    <m/>
    <m/>
    <m/>
    <m/>
  </r>
  <r>
    <s v="Maracaibo"/>
    <s v="MAR"/>
    <s v="MIAMI, FL"/>
    <s v="MIA"/>
    <x v="39"/>
    <s v="1567"/>
    <s v="850a"/>
    <s v="1135a"/>
    <n v="410"/>
    <s v="Nonstop"/>
    <d v="1984-04-29T00:00:00"/>
    <m/>
    <m/>
    <m/>
    <m/>
    <m/>
    <m/>
    <m/>
  </r>
  <r>
    <s v="Melbourne"/>
    <s v="MEL"/>
    <s v="AUCKLAND"/>
    <s v="AUC"/>
    <x v="4"/>
    <s v="26"/>
    <s v="1145a"/>
    <s v="505p"/>
    <n v="816"/>
    <s v="Nonstop"/>
    <d v="1984-04-29T00:00:00"/>
    <m/>
    <m/>
    <m/>
    <m/>
    <m/>
    <m/>
    <m/>
  </r>
  <r>
    <s v="Melbourne"/>
    <s v="MEL"/>
    <s v="SYDNEY"/>
    <s v="SYD"/>
    <x v="16"/>
    <s v="357"/>
    <s v="1145a"/>
    <s v="105p"/>
    <n v="816"/>
    <s v="Nonstop"/>
    <d v="1984-04-29T00:00:00"/>
    <m/>
    <m/>
    <m/>
    <s v="Ops 30 Min. Later On WeSu"/>
    <m/>
    <m/>
    <m/>
  </r>
  <r>
    <s v="Melbourne"/>
    <s v="MEL"/>
    <s v="SYDNEY"/>
    <s v="SYD"/>
    <x v="18"/>
    <s v="2"/>
    <s v="200p"/>
    <s v="320p"/>
    <n v="812"/>
    <s v="Nonstop"/>
    <d v="1984-04-29T00:00:00"/>
    <m/>
    <m/>
    <m/>
    <s v="No Local Traffic On Above Flight"/>
    <m/>
    <m/>
    <m/>
  </r>
  <r>
    <s v="Mexico City"/>
    <s v="MEX"/>
    <s v="GUATEMALA CITY"/>
    <s v="GUA"/>
    <x v="3"/>
    <s v="DLY"/>
    <s v="610p"/>
    <s v="800p"/>
    <n v="22"/>
    <s v="Nonstop"/>
    <m/>
    <m/>
    <m/>
    <m/>
    <m/>
    <m/>
    <m/>
    <m/>
  </r>
  <r>
    <s v="Mexico City"/>
    <s v="MEX"/>
    <s v="LOS ANGELES, CA"/>
    <s v="LAX"/>
    <x v="3"/>
    <s v="DLY"/>
    <s v="800a"/>
    <s v="1040a"/>
    <n v="21"/>
    <s v="Nonstop"/>
    <m/>
    <m/>
    <m/>
    <m/>
    <m/>
    <m/>
    <m/>
    <m/>
  </r>
  <r>
    <s v="Mexico City"/>
    <s v="MEX"/>
    <s v="MIAMI, FL"/>
    <s v="MIA"/>
    <x v="3"/>
    <s v="DLY"/>
    <s v="700a"/>
    <s v="1155a"/>
    <n v="464"/>
    <s v="Nonstop"/>
    <s v="Unknown"/>
    <m/>
    <m/>
    <m/>
    <m/>
    <m/>
    <m/>
    <m/>
  </r>
  <r>
    <s v="Mexico City"/>
    <s v="MEX"/>
    <s v="MIAMI, FL"/>
    <s v="MIA"/>
    <x v="3"/>
    <s v="DLY"/>
    <s v="1020a"/>
    <s v="315p"/>
    <n v="498"/>
    <s v="Nonstop"/>
    <s v="Unknown"/>
    <m/>
    <m/>
    <m/>
    <m/>
    <m/>
    <m/>
    <m/>
  </r>
  <r>
    <s v="Mexico City"/>
    <s v="MEX"/>
    <s v="MIAMI, FL"/>
    <s v="MIA"/>
    <x v="3"/>
    <s v="DLY"/>
    <s v="330p"/>
    <s v="825p"/>
    <n v="468"/>
    <s v="Nonstop"/>
    <s v="Unknown"/>
    <m/>
    <m/>
    <m/>
    <m/>
    <m/>
    <m/>
    <m/>
  </r>
  <r>
    <s v="Miami"/>
    <s v="MIA"/>
    <s v="ANTIGUA"/>
    <s v="ANT"/>
    <x v="2"/>
    <s v="146"/>
    <s v="20 Op"/>
    <s v="505p"/>
    <n v="435"/>
    <s v="Nonstop"/>
    <s v="Unknown"/>
    <m/>
    <m/>
    <m/>
    <m/>
    <m/>
    <m/>
    <m/>
  </r>
  <r>
    <s v="Miami"/>
    <s v="MIA"/>
    <s v="ATLANTA, GA"/>
    <s v="ATL"/>
    <x v="3"/>
    <s v="DLY"/>
    <s v="830a"/>
    <s v="1015a"/>
    <n v="991"/>
    <s v="Nonstop"/>
    <s v="Unknown"/>
    <m/>
    <m/>
    <m/>
    <m/>
    <m/>
    <m/>
    <m/>
  </r>
  <r>
    <s v="Miami"/>
    <s v="MIA"/>
    <s v="ATLANTA, GA"/>
    <s v="ATL"/>
    <x v="3"/>
    <s v="DLY"/>
    <s v="140p"/>
    <s v="335p"/>
    <n v="995"/>
    <s v="Nonstop"/>
    <s v="Unknown"/>
    <m/>
    <m/>
    <m/>
    <m/>
    <m/>
    <m/>
    <m/>
  </r>
  <r>
    <s v="Miami"/>
    <s v="MIA"/>
    <s v="ATLANTA, GA"/>
    <s v="ATL"/>
    <x v="3"/>
    <s v="DLY"/>
    <s v="500p"/>
    <s v="655p"/>
    <n v="997"/>
    <s v="Nonstop"/>
    <s v="Unknown"/>
    <m/>
    <m/>
    <m/>
    <m/>
    <m/>
    <m/>
    <m/>
  </r>
  <r>
    <s v="Miami"/>
    <s v="MIA"/>
    <s v="BARBADOS"/>
    <s v="BGI"/>
    <x v="7"/>
    <s v="257"/>
    <s v="200p"/>
    <s v="535p"/>
    <n v="435"/>
    <s v="Nonstop"/>
    <s v="Unknown"/>
    <m/>
    <m/>
    <m/>
    <m/>
    <m/>
    <m/>
    <m/>
  </r>
  <r>
    <s v="Miami, FL"/>
    <s v="MIA"/>
    <s v="Buenos Aires, Ezeiza"/>
    <s v="EZE"/>
    <x v="40"/>
    <s v="6"/>
    <s v="10:45p"/>
    <s v="8:15a"/>
    <n v="1453"/>
    <s v="Nonstop"/>
    <d v="2023-07-03T00:00:00"/>
    <m/>
    <m/>
    <m/>
    <m/>
    <m/>
    <s v="22:45"/>
    <s v="08:15"/>
  </r>
  <r>
    <s v="Miami, FL"/>
    <s v="MIA"/>
    <s v="Buenos Aires, Ezeiza"/>
    <s v="EZE"/>
    <x v="41"/>
    <s v="246"/>
    <s v="10:45p"/>
    <s v="8:15a"/>
    <n v="455"/>
    <s v="Nonstop"/>
    <m/>
    <d v="2023-06-30T00:00:00"/>
    <m/>
    <m/>
    <m/>
    <m/>
    <s v="22:45"/>
    <s v="08:15"/>
  </r>
  <r>
    <s v="Miami, FL"/>
    <s v="MIA"/>
    <s v="Caracas"/>
    <s v="CCS"/>
    <x v="3"/>
    <s v="DLY"/>
    <s v="2:00p"/>
    <s v="5:05p"/>
    <n v="445"/>
    <s v="Nonstop"/>
    <d v="2023-07-28T00:00:00"/>
    <d v="2023-09-09T00:00:00"/>
    <m/>
    <m/>
    <m/>
    <m/>
    <s v="14:00"/>
    <s v="17:05"/>
  </r>
  <r>
    <s v="Miami, FL"/>
    <s v="MIA"/>
    <s v="Caracas"/>
    <s v="CCS"/>
    <x v="1"/>
    <s v="67"/>
    <s v="11:59p"/>
    <s v="3:05a"/>
    <n v="1443"/>
    <s v="Nonstop"/>
    <m/>
    <m/>
    <m/>
    <m/>
    <m/>
    <m/>
    <s v="23:59"/>
    <s v="03:05"/>
  </r>
  <r>
    <s v="Miami, FL"/>
    <s v="MIA"/>
    <s v="Dallas/Ft. Worth, TX"/>
    <s v="DFW"/>
    <x v="3"/>
    <s v="DLY"/>
    <s v="7:30a"/>
    <s v="9:18a"/>
    <n v="575"/>
    <s v="Nonstop"/>
    <m/>
    <m/>
    <m/>
    <m/>
    <m/>
    <m/>
    <s v="07:30"/>
    <s v="09:18"/>
  </r>
  <r>
    <s v="Miami, FL"/>
    <s v="MIA"/>
    <s v="Guatemala City"/>
    <s v="GUA"/>
    <x v="3"/>
    <s v="DLY"/>
    <s v="6:30p"/>
    <s v="7:00p"/>
    <n v="405"/>
    <s v="Nonstop"/>
    <m/>
    <m/>
    <m/>
    <m/>
    <m/>
    <m/>
    <s v="18:30"/>
    <s v="19:00"/>
  </r>
  <r>
    <s v="Miami, FL"/>
    <s v="MIA"/>
    <s v="Houston, TX Intercontinental"/>
    <s v="IAH"/>
    <x v="3"/>
    <s v="DLY"/>
    <s v="7:50a"/>
    <s v="9:13a"/>
    <n v="721"/>
    <s v="Nonstop"/>
    <m/>
    <m/>
    <m/>
    <m/>
    <m/>
    <m/>
    <s v="07:50"/>
    <s v="09:13"/>
  </r>
  <r>
    <s v="Miami, FL"/>
    <s v="MIA"/>
    <s v="Houston, TX Intercontinental"/>
    <s v="IAH"/>
    <x v="3"/>
    <s v="DLY"/>
    <s v="1:55p"/>
    <s v="3:25p"/>
    <n v="410"/>
    <s v="Nonstop"/>
    <m/>
    <m/>
    <m/>
    <m/>
    <m/>
    <m/>
    <s v="13:55"/>
    <s v="15:25"/>
  </r>
  <r>
    <s v="Miami, FL"/>
    <s v="MIA"/>
    <s v="London, Heathrow"/>
    <s v="LHR"/>
    <x v="3"/>
    <s v="DLY"/>
    <s v="6:15p"/>
    <s v="7:35a"/>
    <n v="98"/>
    <s v="Nonstop"/>
    <m/>
    <m/>
    <m/>
    <m/>
    <m/>
    <m/>
    <s v="18:15"/>
    <s v="07:35"/>
  </r>
  <r>
    <s v="Miami, FL"/>
    <s v="MIA"/>
    <s v="Los Angeles, CA"/>
    <s v="LAX"/>
    <x v="3"/>
    <s v="DLY"/>
    <s v="8:00a"/>
    <s v="10:15a"/>
    <n v="440"/>
    <s v="Nonstop"/>
    <m/>
    <m/>
    <m/>
    <m/>
    <m/>
    <m/>
    <s v="08:00"/>
    <s v="10:15"/>
  </r>
  <r>
    <s v="Miami, FL"/>
    <s v="MIA"/>
    <s v="Maracaibo"/>
    <s v="MAR"/>
    <x v="42"/>
    <s v="4567"/>
    <s v="2:30p"/>
    <s v="5:15p"/>
    <n v="409"/>
    <s v="Nonstop"/>
    <m/>
    <m/>
    <m/>
    <m/>
    <m/>
    <m/>
    <s v="14:30"/>
    <s v="17:15"/>
  </r>
  <r>
    <s v="Miami, FL"/>
    <s v="MIA"/>
    <s v="Memphis, TN"/>
    <s v="MEM"/>
    <x v="3"/>
    <s v="DLY"/>
    <s v="8:30a"/>
    <s v="10:45a"/>
    <n v="991"/>
    <s v="Nonstop"/>
    <m/>
    <m/>
    <m/>
    <m/>
    <m/>
    <m/>
    <s v="08:30"/>
    <s v="10:45"/>
  </r>
  <r>
    <s v="Miami, FL"/>
    <s v="MIA"/>
    <s v="Memphis, TN"/>
    <s v="MEM"/>
    <x v="3"/>
    <s v="DLY"/>
    <s v="1:40p"/>
    <s v="4:10p"/>
    <n v="995"/>
    <s v="Nonstop"/>
    <m/>
    <m/>
    <m/>
    <m/>
    <m/>
    <m/>
    <s v="13:40"/>
    <s v="16:10"/>
  </r>
  <r>
    <s v="Miami, FL"/>
    <s v="MIA"/>
    <s v="Mexico City"/>
    <s v="MEX"/>
    <x v="3"/>
    <s v="DLY"/>
    <s v="8:00a"/>
    <s v="9:05a"/>
    <n v="467"/>
    <s v="Nonstop"/>
    <m/>
    <m/>
    <m/>
    <m/>
    <m/>
    <m/>
    <s v="08:00"/>
    <s v="09:05"/>
  </r>
  <r>
    <s v="Miami, FL"/>
    <s v="MIA"/>
    <s v="Mexico City"/>
    <s v="MEX"/>
    <x v="3"/>
    <s v="DLY"/>
    <s v="12:00p"/>
    <s v="2:25p"/>
    <n v="463"/>
    <s v="Nonstop"/>
    <m/>
    <m/>
    <m/>
    <m/>
    <m/>
    <m/>
    <s v="12:00"/>
    <s v="14:25"/>
  </r>
  <r>
    <s v="Miami, FL"/>
    <s v="MIA"/>
    <s v="Mexico City"/>
    <s v="MEX"/>
    <x v="3"/>
    <s v="DLY"/>
    <s v="5:00p"/>
    <s v="6:05p"/>
    <n v="499"/>
    <s v="Nonstop"/>
    <m/>
    <m/>
    <m/>
    <m/>
    <m/>
    <m/>
    <s v="17:00"/>
    <s v="18:05"/>
  </r>
  <r>
    <s v="Miami, FL"/>
    <s v="MIA"/>
    <s v="New Orleans, LA"/>
    <s v="MSY"/>
    <x v="3"/>
    <s v="DLY"/>
    <s v="7:45a"/>
    <s v="8:25a"/>
    <n v="723"/>
    <s v="Nonstop"/>
    <m/>
    <m/>
    <m/>
    <m/>
    <m/>
    <m/>
    <s v="07:45"/>
    <s v="08:25"/>
  </r>
  <r>
    <s v="Miami, FL"/>
    <s v="MIA"/>
    <s v="New Orleans, LA"/>
    <s v="MSY"/>
    <x v="3"/>
    <s v="DLY"/>
    <s v="1:55p"/>
    <s v="2:45p"/>
    <n v="436"/>
    <s v="Nonstop"/>
    <m/>
    <m/>
    <m/>
    <m/>
    <m/>
    <m/>
    <s v="13:55"/>
    <s v="14:45"/>
  </r>
  <r>
    <s v="Miami, FL"/>
    <s v="MIA"/>
    <s v="New York, NY - JFK Int’l (K)"/>
    <s v="JFK"/>
    <x v="3"/>
    <s v="DLY"/>
    <s v="8:30a"/>
    <s v="11:08a"/>
    <n v="454"/>
    <s v="Nonstop"/>
    <m/>
    <m/>
    <m/>
    <m/>
    <m/>
    <m/>
    <s v="08:30"/>
    <s v="11:08"/>
  </r>
  <r>
    <s v="Miami, FL"/>
    <s v="MIA"/>
    <s v="New York, NY/Newark, NJ (K)"/>
    <s v="JFK"/>
    <x v="3"/>
    <s v="DLY"/>
    <s v="830a"/>
    <s v="1108a"/>
    <n v="454"/>
    <s v="Nonstop"/>
    <m/>
    <m/>
    <m/>
    <m/>
    <m/>
    <m/>
    <m/>
    <m/>
  </r>
  <r>
    <s v="Miami, FL"/>
    <s v="MIA"/>
    <s v="New York, NY/Newark, NJ (E)"/>
    <s v="EWR"/>
    <x v="3"/>
    <s v="DLY"/>
    <s v="830a"/>
    <s v="1113a"/>
    <n v="274"/>
    <s v="Nonstop"/>
    <m/>
    <m/>
    <m/>
    <m/>
    <m/>
    <m/>
    <m/>
    <m/>
  </r>
  <r>
    <s v="Miami, FL"/>
    <s v="MIA"/>
    <s v="New York, NY/Newark, NJ (L)"/>
    <s v="LGA"/>
    <x v="3"/>
    <s v="DLY"/>
    <s v="210p"/>
    <s v="458p"/>
    <n v="244"/>
    <s v="Nonstop"/>
    <m/>
    <m/>
    <m/>
    <m/>
    <m/>
    <m/>
    <m/>
    <m/>
  </r>
  <r>
    <s v="Miami, FL"/>
    <s v="MIA"/>
    <s v="New York, NY/Newark, NJ (K)"/>
    <s v="JFK"/>
    <x v="3"/>
    <s v="DLY"/>
    <s v="230p"/>
    <s v="515p"/>
    <n v="114"/>
    <s v="Nonstop"/>
    <m/>
    <m/>
    <m/>
    <m/>
    <m/>
    <m/>
    <m/>
    <m/>
  </r>
  <r>
    <s v="Miami, FL"/>
    <s v="MIA"/>
    <s v="New York, NY/Newark, NJ (K)"/>
    <s v="JFK"/>
    <x v="3"/>
    <s v="DLY"/>
    <s v="430p"/>
    <s v="715p"/>
    <n v="66"/>
    <s v="Nonstop"/>
    <m/>
    <m/>
    <m/>
    <m/>
    <m/>
    <m/>
    <m/>
    <m/>
  </r>
  <r>
    <s v="Miami, FL"/>
    <s v="MIA"/>
    <s v="New York, NY/Newark, NJ (L)"/>
    <s v="LGA"/>
    <x v="3"/>
    <s v="DLY"/>
    <s v="530p"/>
    <s v="818p"/>
    <n v="248"/>
    <s v="Nonstop"/>
    <m/>
    <m/>
    <m/>
    <m/>
    <m/>
    <m/>
    <m/>
    <m/>
  </r>
  <r>
    <s v="Miami, FL"/>
    <s v="MIA"/>
    <s v="Orlando, FL"/>
    <s v="MCO"/>
    <x v="3"/>
    <s v="DLY"/>
    <s v="7:00a"/>
    <s v="7:45a"/>
    <n v="370"/>
    <s v="Nonstop"/>
    <m/>
    <m/>
    <m/>
    <m/>
    <m/>
    <m/>
    <s v="07:00"/>
    <s v="07:45"/>
  </r>
  <r>
    <s v="Miami, FL"/>
    <s v="MIA"/>
    <s v="Orlando, FL"/>
    <s v="MCO"/>
    <x v="3"/>
    <s v="DLY"/>
    <s v="8:00a"/>
    <s v="8:43a"/>
    <n v="372"/>
    <s v="Nonstop"/>
    <m/>
    <m/>
    <m/>
    <m/>
    <m/>
    <m/>
    <s v="08:00"/>
    <s v="08:43"/>
  </r>
  <r>
    <s v="Miami, FL"/>
    <s v="MIA"/>
    <s v="Orlando, FL"/>
    <s v="MCO"/>
    <x v="3"/>
    <s v="DLY"/>
    <s v="9:00a"/>
    <s v="9:45a"/>
    <n v="374"/>
    <s v="Nonstop"/>
    <m/>
    <m/>
    <m/>
    <m/>
    <m/>
    <m/>
    <s v="09:00"/>
    <s v="09:45"/>
  </r>
  <r>
    <s v="Miami, FL"/>
    <s v="MIA"/>
    <s v="Orlando, FL"/>
    <s v="MCO"/>
    <x v="3"/>
    <s v="DLY"/>
    <s v="10:00a"/>
    <s v="10:45a"/>
    <n v="376"/>
    <s v="Nonstop"/>
    <m/>
    <m/>
    <m/>
    <m/>
    <m/>
    <m/>
    <s v="10:00"/>
    <s v="10:45"/>
  </r>
  <r>
    <s v="Miami, FL"/>
    <s v="MIA"/>
    <s v="Orlando, FL"/>
    <s v="MCO"/>
    <x v="3"/>
    <s v="DLY"/>
    <s v="11:00a"/>
    <s v="11:45a"/>
    <n v="378"/>
    <s v="Nonstop"/>
    <m/>
    <m/>
    <m/>
    <m/>
    <m/>
    <m/>
    <s v="11:00"/>
    <s v="11:45"/>
  </r>
  <r>
    <s v="Miami, FL"/>
    <s v="MIA"/>
    <s v="Orlando, FL"/>
    <s v="MCO"/>
    <x v="3"/>
    <s v="DLY"/>
    <s v="2:00p"/>
    <s v="12:45p"/>
    <n v="380"/>
    <s v="Nonstop"/>
    <m/>
    <m/>
    <m/>
    <m/>
    <m/>
    <m/>
    <s v="14:00"/>
    <s v="12:45"/>
  </r>
  <r>
    <s v="Miami, FL"/>
    <s v="MIA"/>
    <s v="Orlando, FL"/>
    <s v="MCO"/>
    <x v="3"/>
    <s v="DLY"/>
    <s v="1:45p"/>
    <s v="3:45p"/>
    <n v="382"/>
    <s v="Nonstop"/>
    <m/>
    <m/>
    <m/>
    <m/>
    <m/>
    <m/>
    <s v="13:45"/>
    <s v="15:45"/>
  </r>
  <r>
    <s v="Miami, FL"/>
    <s v="MIA"/>
    <s v="Orlando, FL"/>
    <s v="MCO"/>
    <x v="3"/>
    <s v="DLY"/>
    <s v="2:00p"/>
    <s v="2:45p"/>
    <n v="384"/>
    <s v="Nonstop"/>
    <m/>
    <m/>
    <m/>
    <m/>
    <m/>
    <m/>
    <s v="14:00"/>
    <s v="14:45"/>
  </r>
  <r>
    <s v="Miami, FL"/>
    <s v="MIA"/>
    <s v="Orlando, FL"/>
    <s v="MCO"/>
    <x v="3"/>
    <s v="DLY"/>
    <s v="3:00p"/>
    <s v="3:45p"/>
    <n v="386"/>
    <s v="Nonstop"/>
    <m/>
    <m/>
    <m/>
    <m/>
    <m/>
    <m/>
    <s v="15:00"/>
    <s v="15:45"/>
  </r>
  <r>
    <s v="Miami, FL"/>
    <s v="MIA"/>
    <s v="Orlando, FL"/>
    <s v="MCO"/>
    <x v="3"/>
    <s v="DLY"/>
    <s v="4:00p"/>
    <s v="4:45p"/>
    <n v="99"/>
    <s v="Nonstop"/>
    <m/>
    <m/>
    <m/>
    <m/>
    <m/>
    <m/>
    <s v="16:00"/>
    <s v="16:45"/>
  </r>
  <r>
    <s v="Miami, FL"/>
    <s v="MIA"/>
    <s v="Orlando, FL"/>
    <s v="MCO"/>
    <x v="3"/>
    <s v="DLY"/>
    <s v="5:00p"/>
    <s v="5:45p"/>
    <n v="498"/>
    <s v="Nonstop"/>
    <m/>
    <m/>
    <m/>
    <m/>
    <m/>
    <m/>
    <s v="17:00"/>
    <s v="17:45"/>
  </r>
  <r>
    <s v="Miami, FL"/>
    <s v="MIA"/>
    <s v="Orlando, FL"/>
    <s v="MCO"/>
    <x v="3"/>
    <s v="DLY"/>
    <s v="6:00p"/>
    <s v="6:45p"/>
    <n v="392"/>
    <s v="Nonstop"/>
    <m/>
    <m/>
    <m/>
    <m/>
    <m/>
    <m/>
    <s v="18:00"/>
    <s v="18:45"/>
  </r>
  <r>
    <s v="Miami, FL"/>
    <s v="MIA"/>
    <s v="Orlando, FL"/>
    <s v="MCO"/>
    <x v="3"/>
    <s v="DLY"/>
    <s v="7:00p"/>
    <s v="7:45p"/>
    <n v="394"/>
    <s v="Nonstop"/>
    <m/>
    <m/>
    <m/>
    <m/>
    <m/>
    <m/>
    <s v="19:00"/>
    <s v="19:45"/>
  </r>
  <r>
    <s v="Miami, FL"/>
    <s v="MIA"/>
    <s v="Orlando, FL"/>
    <s v="MCO"/>
    <x v="3"/>
    <s v="DLY"/>
    <s v="8:00p"/>
    <s v="8:45p"/>
    <n v="396"/>
    <s v="Nonstop"/>
    <m/>
    <m/>
    <m/>
    <m/>
    <m/>
    <m/>
    <s v="20:00"/>
    <s v="20:45"/>
  </r>
  <r>
    <s v="Miami, FL"/>
    <s v="MIA"/>
    <s v="Orlando, FL"/>
    <s v="MCO"/>
    <x v="3"/>
    <s v="DLY"/>
    <s v="9:00p"/>
    <s v="9:45p"/>
    <n v="398"/>
    <s v="Nonstop"/>
    <m/>
    <m/>
    <m/>
    <m/>
    <m/>
    <m/>
    <s v="21:00"/>
    <s v="21:45"/>
  </r>
  <r>
    <s v="Miami, FL"/>
    <s v="MIA"/>
    <s v="Rio de Janeiro"/>
    <s v="GIG"/>
    <x v="3"/>
    <s v="DLY"/>
    <s v="10:30p"/>
    <s v="7:35a"/>
    <n v="447"/>
    <s v="Nonstop"/>
    <m/>
    <m/>
    <m/>
    <m/>
    <m/>
    <m/>
    <s v="22:30"/>
    <s v="07:35"/>
  </r>
  <r>
    <s v="Miami, FL"/>
    <s v="MIA"/>
    <s v="St. Kitts"/>
    <s v="SKP"/>
    <x v="43"/>
    <s v="3"/>
    <s v="2:00p"/>
    <s v="4:40p"/>
    <n v="435"/>
    <s v="Nonstop"/>
    <m/>
    <m/>
    <m/>
    <m/>
    <m/>
    <m/>
    <s v="14:00"/>
    <s v="16:40"/>
  </r>
  <r>
    <s v="Miami, FL"/>
    <s v="MIA"/>
    <s v="Tampa/St. Pete, FL"/>
    <s v="TPA"/>
    <x v="3"/>
    <s v="DLY"/>
    <s v="730a"/>
    <s v="815a"/>
    <n v="328"/>
    <s v="Nonstop"/>
    <m/>
    <m/>
    <m/>
    <m/>
    <m/>
    <m/>
    <m/>
    <m/>
  </r>
  <r>
    <s v="Miami, FL"/>
    <s v="MIA"/>
    <s v="Tampa/St. Pete, FL"/>
    <s v="TPA"/>
    <x v="3"/>
    <s v="DLY"/>
    <s v="830a"/>
    <s v="915a"/>
    <n v="330"/>
    <s v="Nonstop"/>
    <m/>
    <m/>
    <m/>
    <m/>
    <m/>
    <m/>
    <m/>
    <m/>
  </r>
  <r>
    <s v="Miami, FL"/>
    <s v="MIA"/>
    <s v="Tampa/St. Pete, FL"/>
    <s v="TPA"/>
    <x v="3"/>
    <s v="DLY"/>
    <s v="930a"/>
    <s v="1015a"/>
    <n v="332"/>
    <s v="Nonstop"/>
    <m/>
    <m/>
    <m/>
    <m/>
    <m/>
    <m/>
    <m/>
    <m/>
  </r>
  <r>
    <s v="Miami, FL"/>
    <s v="MIA"/>
    <s v="Tampa/St. Pete, FL"/>
    <s v="TPA"/>
    <x v="3"/>
    <s v="DLY"/>
    <s v="1030a"/>
    <s v="1115a"/>
    <n v="334"/>
    <s v="Nonstop"/>
    <m/>
    <m/>
    <m/>
    <m/>
    <m/>
    <m/>
    <m/>
    <m/>
  </r>
  <r>
    <s v="Miami, FL"/>
    <s v="MIA"/>
    <s v="Tampa/St. Pete, FL"/>
    <s v="TPA"/>
    <x v="3"/>
    <s v="DLY"/>
    <s v="1130a"/>
    <s v="1215p"/>
    <n v="336"/>
    <s v="Nonstop"/>
    <m/>
    <m/>
    <m/>
    <m/>
    <m/>
    <m/>
    <m/>
    <m/>
  </r>
  <r>
    <s v="Miami, FL"/>
    <s v="MIA"/>
    <s v="Tampa/St. Pete, FL"/>
    <s v="TPA"/>
    <x v="3"/>
    <s v="DLY"/>
    <s v="1230p"/>
    <s v="115p"/>
    <n v="338"/>
    <s v="Nonstop"/>
    <m/>
    <m/>
    <m/>
    <m/>
    <m/>
    <m/>
    <m/>
    <m/>
  </r>
  <r>
    <s v="Miami, FL"/>
    <s v="MIA"/>
    <s v="Tampa/St. Pete, FL"/>
    <s v="TPA"/>
    <x v="3"/>
    <s v="DLY"/>
    <s v="130p"/>
    <s v="215p"/>
    <n v="464"/>
    <s v="Nonstop"/>
    <m/>
    <m/>
    <m/>
    <m/>
    <m/>
    <m/>
    <m/>
    <m/>
  </r>
  <r>
    <s v="Miami, FL"/>
    <s v="MIA"/>
    <s v="Tampa/St. Pete, FL"/>
    <s v="TPA"/>
    <x v="3"/>
    <s v="DLY"/>
    <s v="230p"/>
    <s v="315p"/>
    <n v="342"/>
    <s v="Nonstop"/>
    <m/>
    <m/>
    <m/>
    <m/>
    <m/>
    <m/>
    <m/>
    <m/>
  </r>
  <r>
    <s v="Miami, FL"/>
    <s v="MIA"/>
    <s v="Tampa/St. Pete, FL"/>
    <s v="TPA"/>
    <x v="3"/>
    <s v="DLY"/>
    <s v="330p"/>
    <s v="415p"/>
    <n v="344"/>
    <s v="Nonstop"/>
    <m/>
    <m/>
    <m/>
    <m/>
    <m/>
    <m/>
    <m/>
    <m/>
  </r>
  <r>
    <s v="Miami, FL"/>
    <s v="MIA"/>
    <s v="Tampa/St. Pete, FL"/>
    <s v="TPA"/>
    <x v="3"/>
    <s v="DLY"/>
    <s v="430p"/>
    <s v="515p"/>
    <n v="346"/>
    <s v="Nonstop"/>
    <m/>
    <m/>
    <m/>
    <m/>
    <m/>
    <m/>
    <m/>
    <m/>
  </r>
  <r>
    <s v="Miami, FL"/>
    <s v="MIA"/>
    <s v="Tampa/St. Pete, FL"/>
    <s v="TPA"/>
    <x v="3"/>
    <s v="DLY"/>
    <s v="530p"/>
    <s v="615p"/>
    <n v="348"/>
    <s v="Nonstop"/>
    <m/>
    <m/>
    <m/>
    <m/>
    <m/>
    <m/>
    <m/>
    <m/>
  </r>
  <r>
    <s v="Miami, FL"/>
    <s v="MIA"/>
    <s v="Tampa/St. Pete, FL"/>
    <s v="TPA"/>
    <x v="3"/>
    <s v="DLY"/>
    <s v="630p"/>
    <s v="715p"/>
    <n v="350"/>
    <s v="Nonstop"/>
    <m/>
    <m/>
    <m/>
    <m/>
    <m/>
    <m/>
    <m/>
    <m/>
  </r>
  <r>
    <s v="Miami, FL"/>
    <s v="MIA"/>
    <s v="Tampa/St. Pete, FL"/>
    <s v="TPA"/>
    <x v="3"/>
    <s v="DLY"/>
    <s v="730p"/>
    <s v="815p"/>
    <n v="352"/>
    <s v="Nonstop"/>
    <m/>
    <m/>
    <m/>
    <m/>
    <m/>
    <m/>
    <m/>
    <m/>
  </r>
  <r>
    <s v="Miami, FL"/>
    <s v="MIA"/>
    <s v="Tampa/St. Pete, FL"/>
    <s v="TPA"/>
    <x v="3"/>
    <s v="DLY"/>
    <s v="830p"/>
    <s v="915p"/>
    <n v="354"/>
    <s v="Nonstop"/>
    <m/>
    <m/>
    <m/>
    <m/>
    <m/>
    <m/>
    <m/>
    <m/>
  </r>
  <r>
    <s v="Miami, FL"/>
    <s v="MIA"/>
    <s v="Washington, D.C. (National Airport)"/>
    <s v="DCA"/>
    <x v="3"/>
    <s v="DLY"/>
    <s v="845a"/>
    <s v="1100a"/>
    <n v="252"/>
    <s v="Nonstop"/>
    <m/>
    <m/>
    <m/>
    <m/>
    <m/>
    <m/>
    <m/>
    <m/>
  </r>
  <r>
    <s v="Miami, FL"/>
    <s v="MIA"/>
    <s v="Washington, D.C. (National Airport)"/>
    <s v="DCA"/>
    <x v="3"/>
    <s v="DLY"/>
    <s v="155p"/>
    <s v="359p"/>
    <n v="254"/>
    <s v="Nonstop"/>
    <m/>
    <m/>
    <m/>
    <m/>
    <m/>
    <m/>
    <m/>
    <m/>
  </r>
  <r>
    <s v="Miami, FL"/>
    <s v="MIA"/>
    <s v="Washington, D.C. (National Airport)"/>
    <s v="DCA"/>
    <x v="3"/>
    <s v="DLY"/>
    <s v="645p"/>
    <s v="901p"/>
    <n v="258"/>
    <s v="Nonstop"/>
    <m/>
    <m/>
    <m/>
    <m/>
    <m/>
    <m/>
    <m/>
    <m/>
  </r>
  <r>
    <s v="Miami, FL"/>
    <s v="MIA"/>
    <s v="Chicago, IL (O'Hare)"/>
    <s v="ORD"/>
    <x v="3"/>
    <s v="DLY"/>
    <s v="1105a"/>
    <s v="1215p"/>
    <s v="K"/>
    <s v="Nonstop"/>
    <m/>
    <m/>
    <m/>
    <m/>
    <m/>
    <m/>
    <m/>
    <m/>
  </r>
  <r>
    <s v="Monrovia"/>
    <s v="ROB"/>
    <s v="Dakar"/>
    <s v="DSS"/>
    <x v="32"/>
    <s v="3"/>
    <s v="23:10:00"/>
    <s v="01:00:00"/>
    <n v="189"/>
    <s v="Nonstop"/>
    <s v="-"/>
    <s v="-"/>
    <s v="-"/>
    <m/>
    <m/>
    <m/>
    <s v="23:10"/>
    <s v="01:00"/>
  </r>
  <r>
    <s v="Monrovia"/>
    <s v="ROB"/>
    <s v="Johannesburg (Jan Smuts)"/>
    <s v="JNB"/>
    <x v="44"/>
    <s v="145"/>
    <s v="09:50:00"/>
    <s v="18:20:00"/>
    <n v="180"/>
    <s v="Nonstop"/>
    <d v="2023-06-04T00:00:00"/>
    <s v="-"/>
    <s v="No Local Traffic On Above Flight"/>
    <m/>
    <m/>
    <m/>
    <s v="09:50"/>
    <s v="18:20"/>
  </r>
  <r>
    <s v="Monrovia"/>
    <s v="ROB"/>
    <s v="Johannesburg (Jan Smuts)"/>
    <s v="JNB"/>
    <x v="45"/>
    <s v="14"/>
    <s v="09:50:00"/>
    <s v="18:20:00"/>
    <n v="180"/>
    <s v="Nonstop"/>
    <s v="-"/>
    <d v="2023-05-31T00:00:00"/>
    <s v="No Local Traffic On Above Flight"/>
    <m/>
    <m/>
    <m/>
    <s v="09:50"/>
    <s v="18:20"/>
  </r>
  <r>
    <s v="Monrovia"/>
    <s v="ROB"/>
    <s v="Lagos"/>
    <s v="LOS"/>
    <x v="46"/>
    <s v="2"/>
    <s v="13:45:00"/>
    <s v="17:05:00"/>
    <n v="188"/>
    <s v="Nonstop"/>
    <s v="-"/>
    <s v="-"/>
    <s v="-"/>
    <m/>
    <m/>
    <m/>
    <s v="13:45"/>
    <s v="17:05"/>
  </r>
  <r>
    <s v="Monrovia"/>
    <s v="ROB"/>
    <s v="New York, NY/Newark, NJ (K-JFK Int'l)"/>
    <s v="JFK"/>
    <x v="47"/>
    <s v="367"/>
    <s v="01:45:00"/>
    <s v="06:45:00"/>
    <n v="111"/>
    <s v="Nonstop"/>
    <d v="2023-06-06T00:00:00"/>
    <s v="-"/>
    <s v="-"/>
    <m/>
    <m/>
    <m/>
    <s v="01:45"/>
    <s v="06:45"/>
  </r>
  <r>
    <s v="Monrovia"/>
    <s v="ROB"/>
    <s v="New York, NY/Newark, NJ (K-JFK Int'l)"/>
    <s v="JFK"/>
    <x v="48"/>
    <s v="36"/>
    <s v="01:45:00"/>
    <s v="06:45:00"/>
    <n v="181"/>
    <s v="Nonstop"/>
    <s v="-"/>
    <d v="2023-06-02T00:00:00"/>
    <s v="-"/>
    <m/>
    <m/>
    <m/>
    <s v="01:45"/>
    <s v="06:45"/>
  </r>
  <r>
    <s v="Montevideo"/>
    <s v="MVD"/>
    <s v="Buenos Aires Ezeiza"/>
    <s v="EZE"/>
    <x v="49"/>
    <s v="46"/>
    <s v="16:15:00"/>
    <s v="16:55:00"/>
    <n v="202"/>
    <s v="Nonstop"/>
    <m/>
    <m/>
    <m/>
    <m/>
    <m/>
    <m/>
    <s v="16:15"/>
    <s v="16:55"/>
  </r>
  <r>
    <s v="Munich"/>
    <s v="MUN"/>
    <s v="Berlin"/>
    <s v="TXL"/>
    <x v="50"/>
    <s v="12345"/>
    <s v="08:05:00"/>
    <s v="09:25:00"/>
    <d v="1901-11-10T00:00:00"/>
    <s v="Nonstop"/>
    <m/>
    <m/>
    <m/>
    <m/>
    <m/>
    <m/>
    <s v="08:05"/>
    <s v="09:25"/>
  </r>
  <r>
    <s v="Munich"/>
    <s v="MUN"/>
    <s v="Berlin"/>
    <s v="TXL"/>
    <x v="3"/>
    <s v="DLY"/>
    <s v="08:50:00"/>
    <s v="10:10:00"/>
    <d v="1901-11-12T00:00:00"/>
    <s v="Nonstop"/>
    <m/>
    <m/>
    <m/>
    <m/>
    <m/>
    <m/>
    <s v="08:50"/>
    <s v="10:10"/>
  </r>
  <r>
    <s v="Munich"/>
    <s v="MUN"/>
    <s v="Berlin"/>
    <s v="TXL"/>
    <x v="3"/>
    <s v="DLY"/>
    <s v="11:10:00"/>
    <s v="12:30:00"/>
    <d v="1901-11-14T00:00:00"/>
    <s v="Nonstop"/>
    <m/>
    <m/>
    <m/>
    <m/>
    <m/>
    <m/>
    <s v="11:10"/>
    <s v="12:30"/>
  </r>
  <r>
    <s v="Munich"/>
    <s v="MUN"/>
    <s v="Berlin"/>
    <s v="TXL"/>
    <x v="3"/>
    <s v="DLY"/>
    <s v="14:40:00"/>
    <s v="16:00:00"/>
    <d v="1901-11-16T00:00:00"/>
    <s v="Nonstop"/>
    <m/>
    <m/>
    <m/>
    <m/>
    <m/>
    <m/>
    <s v="14:40"/>
    <s v="16:00"/>
  </r>
  <r>
    <s v="Munich"/>
    <s v="MUN"/>
    <s v="Berlin"/>
    <s v="TXL"/>
    <x v="3"/>
    <s v="DLY"/>
    <s v="17:30:00"/>
    <s v="18:50:00"/>
    <d v="1901-11-18T00:00:00"/>
    <s v="Nonstop"/>
    <m/>
    <m/>
    <m/>
    <m/>
    <m/>
    <m/>
    <s v="17:30"/>
    <s v="18:50"/>
  </r>
  <r>
    <s v="Munich"/>
    <s v="MUN"/>
    <s v="Berlin"/>
    <s v="TXL"/>
    <x v="3"/>
    <s v="DLY"/>
    <s v="20:00:00"/>
    <s v="21:20:00"/>
    <d v="1901-11-20T00:00:00"/>
    <s v="Nonstop"/>
    <m/>
    <m/>
    <m/>
    <m/>
    <m/>
    <m/>
    <s v="20:00"/>
    <s v="21:20"/>
  </r>
  <r>
    <s v="Munich"/>
    <s v="MUN"/>
    <s v="Berlin"/>
    <s v="TXL"/>
    <x v="8"/>
    <s v="5"/>
    <s v="21:15:00"/>
    <s v="22:35:00"/>
    <d v="1901-11-22T00:00:00"/>
    <s v="Nonstop"/>
    <m/>
    <m/>
    <m/>
    <m/>
    <m/>
    <m/>
    <s v="21:15"/>
    <s v="22:35"/>
  </r>
  <r>
    <s v="Munich"/>
    <s v="MUN"/>
    <s v="Budapest"/>
    <s v="BUD"/>
    <x v="51"/>
    <s v="35"/>
    <s v="11:40:00"/>
    <s v="12:55:00"/>
    <n v="78"/>
    <s v="Nonstop"/>
    <m/>
    <m/>
    <m/>
    <m/>
    <m/>
    <m/>
    <s v="11:40"/>
    <s v="12:55"/>
  </r>
  <r>
    <s v="Munich"/>
    <s v="MUN"/>
    <s v="Dubrovnik"/>
    <s v="DBV"/>
    <x v="52"/>
    <s v="24"/>
    <s v="11:40:00"/>
    <s v="13:05:00"/>
    <n v="78"/>
    <s v="Nonstop"/>
    <m/>
    <m/>
    <m/>
    <m/>
    <m/>
    <m/>
    <s v="11:40"/>
    <s v="13:05"/>
  </r>
  <r>
    <s v="Munich"/>
    <s v="MUN"/>
    <s v="New York, NY/Newark, NJ"/>
    <m/>
    <x v="3"/>
    <s v="DLY"/>
    <s v="12:00:00"/>
    <s v="14:35:00"/>
    <n v="77"/>
    <s v="Nonstop"/>
    <m/>
    <m/>
    <m/>
    <m/>
    <m/>
    <m/>
    <s v="12:00"/>
    <s v="14:35"/>
  </r>
  <r>
    <s v="Munich"/>
    <s v="MUN"/>
    <s v="Zagreb"/>
    <s v="ZAG"/>
    <x v="53"/>
    <s v="1246"/>
    <s v="11:30:00"/>
    <s v="12:25:00"/>
    <n v="76"/>
    <s v="Nonstop"/>
    <m/>
    <m/>
    <m/>
    <m/>
    <m/>
    <m/>
    <s v="11:30"/>
    <s v="12:25"/>
  </r>
  <r>
    <s v="Nashville"/>
    <s v="BNA"/>
    <s v="Cleveland, OH"/>
    <s v="CLE"/>
    <x v="3"/>
    <s v="DLY"/>
    <s v="11:40:00"/>
    <s v="14:00:00"/>
    <n v="556"/>
    <s v="Nonstop"/>
    <m/>
    <m/>
    <m/>
    <m/>
    <m/>
    <m/>
    <s v="11:40"/>
    <s v="14:00"/>
  </r>
  <r>
    <s v="Nassau"/>
    <s v="NAS"/>
    <s v="New York, NY/Newark, NJ"/>
    <m/>
    <x v="3"/>
    <s v="DLY"/>
    <s v="16:30:00"/>
    <s v="19:10:00"/>
    <n v="206"/>
    <s v="Nonstop"/>
    <d v="2023-06-01T00:00:00"/>
    <s v="-"/>
    <m/>
    <m/>
    <m/>
    <m/>
    <s v="16:30"/>
    <s v="19:10"/>
  </r>
  <r>
    <s v="Nassau"/>
    <s v="NAS"/>
    <s v="New York, NY/Newark, NJ"/>
    <m/>
    <x v="3"/>
    <s v="DLY"/>
    <s v="16:30:00"/>
    <s v="19:15:00"/>
    <n v="206"/>
    <s v="Nonstop"/>
    <s v="-"/>
    <d v="2023-05-31T00:00:00"/>
    <m/>
    <m/>
    <m/>
    <m/>
    <s v="16:30"/>
    <s v="19:15"/>
  </r>
  <r>
    <s v="New Orleans"/>
    <s v="MSY"/>
    <s v="Houston, TX Intercontinental"/>
    <s v="IAH"/>
    <x v="3"/>
    <s v="DLY"/>
    <s v="07:30:00"/>
    <s v="08:30:00"/>
    <n v="11"/>
    <s v="Nonstop"/>
    <m/>
    <m/>
    <m/>
    <m/>
    <m/>
    <m/>
    <s v="07:30"/>
    <s v="08:30"/>
  </r>
  <r>
    <s v="New Orleans"/>
    <s v="MSY"/>
    <s v="Miami, FL"/>
    <s v="MIA"/>
    <x v="3"/>
    <s v="DLY"/>
    <s v="09:30:00"/>
    <s v="12:10:00"/>
    <n v="435"/>
    <s v="Nonstop"/>
    <m/>
    <m/>
    <m/>
    <m/>
    <m/>
    <m/>
    <s v="09:30"/>
    <s v="12:10"/>
  </r>
  <r>
    <s v="New Orleans"/>
    <s v="MSY"/>
    <s v="Miami, FL"/>
    <s v="MIA"/>
    <x v="3"/>
    <s v="DLY"/>
    <s v="18:35:00"/>
    <s v="21:15:00"/>
    <n v="728"/>
    <s v="Nonstop"/>
    <m/>
    <m/>
    <m/>
    <m/>
    <m/>
    <m/>
    <s v="18:35"/>
    <s v="21:15"/>
  </r>
  <r>
    <s v="New Orleans"/>
    <s v="MSY"/>
    <s v="New York, NY/Newark, NJ (K-JFK Int’l L-LaGuardia E-Newark)"/>
    <m/>
    <x v="3"/>
    <s v="DLY"/>
    <s v="12:00:00"/>
    <s v="15:49:00"/>
    <n v="588"/>
    <s v="Nonstop"/>
    <m/>
    <m/>
    <m/>
    <m/>
    <m/>
    <m/>
    <s v="12:00"/>
    <s v="15:49"/>
  </r>
  <r>
    <s v="New Orleans"/>
    <s v="MYS"/>
    <s v="San Antonio, TX"/>
    <s v="SAT"/>
    <x v="3"/>
    <s v="DLY"/>
    <s v="21:00:00"/>
    <s v="22:30:00"/>
    <n v="589"/>
    <s v="Nonstop"/>
    <m/>
    <m/>
    <m/>
    <m/>
    <m/>
    <m/>
    <s v="21:00"/>
    <s v="22:30"/>
  </r>
  <r>
    <s v="NYC (K)"/>
    <s v="JFK"/>
    <s v="Albany, NY"/>
    <s v="ALB"/>
    <x v="1"/>
    <s v="67"/>
    <s v="08:30:00"/>
    <s v="09:15:00"/>
    <n v="920"/>
    <s v="Nonstop"/>
    <m/>
    <m/>
    <m/>
    <m/>
    <m/>
    <m/>
    <s v="08:30"/>
    <s v="09:15"/>
  </r>
  <r>
    <s v="NYC (K)"/>
    <s v="JFK"/>
    <s v="Albany, NY"/>
    <s v="ALB"/>
    <x v="0"/>
    <s v="12345"/>
    <s v="14:40:00"/>
    <s v="15:25:00"/>
    <n v="943"/>
    <s v="Nonstop"/>
    <m/>
    <m/>
    <m/>
    <m/>
    <m/>
    <m/>
    <s v="14:40"/>
    <s v="15:25"/>
  </r>
  <r>
    <s v="NYC (K)"/>
    <s v="JFK"/>
    <s v="Albany, NY"/>
    <s v="ALB"/>
    <x v="1"/>
    <s v="67"/>
    <s v="18:50:00"/>
    <s v="19:35:00"/>
    <n v="926"/>
    <s v="Nonstop"/>
    <m/>
    <m/>
    <m/>
    <m/>
    <m/>
    <m/>
    <s v="18:50"/>
    <s v="19:35"/>
  </r>
  <r>
    <s v="NYC (K)"/>
    <s v="JFK"/>
    <s v="Albany, NY"/>
    <s v="ALB"/>
    <x v="3"/>
    <s v="DLY"/>
    <s v="21:15:00"/>
    <s v="22:00:00"/>
    <n v="918"/>
    <s v="Nonstop"/>
    <m/>
    <m/>
    <m/>
    <m/>
    <m/>
    <m/>
    <s v="21:15"/>
    <s v="22:00"/>
  </r>
  <r>
    <s v="NYC (K)"/>
    <s v="JFK"/>
    <s v="Antigua"/>
    <s v="ANU"/>
    <x v="54"/>
    <s v="1567"/>
    <s v="09:30:00"/>
    <s v="13:20:00"/>
    <n v="229"/>
    <s v="Nonstop"/>
    <m/>
    <m/>
    <m/>
    <m/>
    <m/>
    <m/>
    <s v="09:30"/>
    <s v="13:20"/>
  </r>
  <r>
    <s v="NYC (K)"/>
    <s v="JFK"/>
    <s v="Atlanta, GA"/>
    <s v="ATL"/>
    <x v="55"/>
    <s v="DLY"/>
    <s v="08:15:00"/>
    <s v="10:25:00"/>
    <n v="973"/>
    <s v="Nonstop"/>
    <m/>
    <m/>
    <m/>
    <m/>
    <m/>
    <m/>
    <s v="08:15"/>
    <s v="10:25"/>
  </r>
  <r>
    <s v="NYC (K)"/>
    <s v="JFK"/>
    <s v="Atlanta, GA"/>
    <s v="ATL"/>
    <x v="56"/>
    <s v="12345"/>
    <s v="12:00:00"/>
    <s v="14:10:00"/>
    <n v="975"/>
    <s v="Nonstop"/>
    <m/>
    <m/>
    <m/>
    <m/>
    <m/>
    <m/>
    <s v="12:00"/>
    <s v="14:10"/>
  </r>
  <r>
    <s v="NYC (K)"/>
    <s v="JFK"/>
    <s v="Atlanta, GA"/>
    <s v="ATL"/>
    <x v="55"/>
    <s v="DLY"/>
    <s v="16:00:00"/>
    <s v="18:20:00"/>
    <n v="979"/>
    <s v="Nonstop"/>
    <m/>
    <m/>
    <m/>
    <m/>
    <m/>
    <m/>
    <s v="16:00"/>
    <s v="18:20"/>
  </r>
  <r>
    <s v="NYC (K)"/>
    <s v="JFK"/>
    <s v="Atlanta, GA"/>
    <s v="ATL"/>
    <x v="56"/>
    <s v="12345"/>
    <s v="19:20:00"/>
    <s v="21:40:00"/>
    <n v="977"/>
    <s v="Nonstop"/>
    <m/>
    <m/>
    <m/>
    <m/>
    <m/>
    <m/>
    <s v="19:20"/>
    <s v="21:40"/>
  </r>
  <r>
    <s v="NYC (K)"/>
    <s v="JFK"/>
    <s v="Barbados"/>
    <s v="BGI"/>
    <x v="55"/>
    <s v="DLY"/>
    <s v="10:30:00"/>
    <s v="14:55:00"/>
    <n v="219"/>
    <s v="Nonstop"/>
    <m/>
    <m/>
    <m/>
    <m/>
    <m/>
    <m/>
    <s v="10:30"/>
    <s v="14:55"/>
  </r>
  <r>
    <s v="NYC (K)"/>
    <s v="JFK"/>
    <s v="Bermuda"/>
    <s v="TXL"/>
    <x v="55"/>
    <s v="DLY"/>
    <s v="10:00:00"/>
    <s v="12:55:00"/>
    <n v="130"/>
    <s v="Nonstop"/>
    <m/>
    <m/>
    <m/>
    <m/>
    <m/>
    <m/>
    <s v="10:00"/>
    <s v="12:55"/>
  </r>
  <r>
    <s v="NYC (K)"/>
    <s v="JFK"/>
    <s v="Boston, MA"/>
    <s v="BOS"/>
    <x v="55"/>
    <s v="DLY"/>
    <s v="08:15:00"/>
    <s v="09:10:00"/>
    <n v="202"/>
    <s v="Nonstop"/>
    <m/>
    <m/>
    <m/>
    <m/>
    <m/>
    <m/>
    <s v="08:15"/>
    <s v="09:10"/>
  </r>
  <r>
    <s v="NYC (K)"/>
    <s v="JFK"/>
    <s v="Boston, MA"/>
    <s v="BOS"/>
    <x v="55"/>
    <s v="DLY"/>
    <s v="13:50:00"/>
    <s v="14:45:00"/>
    <n v="530"/>
    <s v="Nonstop"/>
    <m/>
    <m/>
    <m/>
    <m/>
    <m/>
    <m/>
    <s v="13:50"/>
    <s v="14:45"/>
  </r>
  <r>
    <s v="NYC (K)"/>
    <s v="JFK"/>
    <s v="Boston, MA"/>
    <s v="BOS"/>
    <x v="55"/>
    <s v="DLY"/>
    <s v="16:10:00"/>
    <s v="17:10:00"/>
    <n v="220"/>
    <s v="Nonstop"/>
    <m/>
    <m/>
    <m/>
    <m/>
    <m/>
    <m/>
    <s v="16:10"/>
    <s v="17:10"/>
  </r>
  <r>
    <s v="NYC (K)"/>
    <s v="JFK"/>
    <s v="Boston, MA"/>
    <s v="BOS"/>
    <x v="55"/>
    <s v="DLY"/>
    <s v="20:45:00"/>
    <s v="22:00:00"/>
    <n v="208"/>
    <s v="Nonstop"/>
    <m/>
    <m/>
    <m/>
    <m/>
    <m/>
    <m/>
    <s v="20:45"/>
    <s v="22:00"/>
  </r>
  <r>
    <s v="NYC (K)"/>
    <s v="JFK"/>
    <s v="FRANKFURT"/>
    <s v="FRA"/>
    <x v="3"/>
    <s v="DLY"/>
    <s v="18:30:00"/>
    <s v="7:40 AM +1"/>
    <n v="72"/>
    <s v="Nonstop"/>
    <m/>
    <m/>
    <m/>
    <m/>
    <m/>
    <m/>
    <s v="18:30"/>
    <s v="07:40"/>
  </r>
  <r>
    <s v="NYC(K)"/>
    <s v="JFK"/>
    <s v="FRANKFURT"/>
    <s v="FRA"/>
    <x v="3"/>
    <s v="DLY"/>
    <s v="21:45:00"/>
    <s v="11:10 AM +1"/>
    <n v="66"/>
    <s v="Nonstop"/>
    <m/>
    <m/>
    <m/>
    <m/>
    <m/>
    <m/>
    <s v="21:45"/>
    <s v="11:10"/>
  </r>
  <r>
    <s v="NYC(K)"/>
    <s v="JFK"/>
    <s v="HARTFORD, CT/SPRINGFIELD, MA"/>
    <s v="BDL"/>
    <x v="3"/>
    <s v="DLY"/>
    <s v="11:30:00"/>
    <s v="12:15:00"/>
    <n v="941"/>
    <s v="Nonstop"/>
    <m/>
    <m/>
    <m/>
    <m/>
    <m/>
    <m/>
    <s v="11:30"/>
    <s v="12:15"/>
  </r>
  <r>
    <s v="NYC(K)"/>
    <s v="JFK"/>
    <s v="HARTFORD, CT/SPRINGFIELD, MA"/>
    <s v="BDL"/>
    <x v="3"/>
    <s v="DLY"/>
    <s v="14:25:00"/>
    <s v="15:10:00"/>
    <n v="915"/>
    <s v="Nonstop"/>
    <m/>
    <m/>
    <m/>
    <m/>
    <m/>
    <m/>
    <s v="14:25"/>
    <s v="15:10"/>
  </r>
  <r>
    <s v="NYC(K)"/>
    <s v="JFK"/>
    <s v="HARTFORD, CT/SPRINGFIELD, MA"/>
    <s v="BDL"/>
    <x v="3"/>
    <s v="DLY"/>
    <s v="17:55:00"/>
    <s v="18:40:00"/>
    <n v="917"/>
    <s v="Nonstop"/>
    <m/>
    <m/>
    <m/>
    <m/>
    <m/>
    <m/>
    <s v="17:55"/>
    <s v="18:40"/>
  </r>
  <r>
    <s v="NYC(K)"/>
    <s v="JFK"/>
    <s v="HARTFORD, CT/SPRINGFIELD, MA"/>
    <s v="BDL"/>
    <x v="3"/>
    <s v="DLY"/>
    <s v="22:10:00"/>
    <s v="22:55:00"/>
    <n v="919"/>
    <s v="Nonstop"/>
    <m/>
    <m/>
    <m/>
    <m/>
    <m/>
    <m/>
    <s v="22:10"/>
    <s v="22:55"/>
  </r>
  <r>
    <s v="NYC(K)"/>
    <s v="JFK"/>
    <s v="HOUSTON, TX Intercontinental"/>
    <s v="IAH"/>
    <x v="3"/>
    <s v="DLY"/>
    <s v="09:00:00"/>
    <s v="11:25:00"/>
    <n v="25"/>
    <s v="Nonstop"/>
    <m/>
    <m/>
    <m/>
    <m/>
    <m/>
    <m/>
    <s v="09:00"/>
    <s v="11:25"/>
  </r>
  <r>
    <s v="NYC(K)"/>
    <s v="JFK"/>
    <s v="HOUSTON, TX Intercontinental"/>
    <s v="IAH"/>
    <x v="3"/>
    <s v="DLY"/>
    <s v="18:30:00"/>
    <s v="21:10:00"/>
    <n v="51"/>
    <s v="Nonstop"/>
    <m/>
    <m/>
    <m/>
    <m/>
    <m/>
    <m/>
    <s v="18:30"/>
    <s v="21:10"/>
  </r>
  <r>
    <s v="NYC(K)"/>
    <s v="JFK"/>
    <s v="ITHACA, NY"/>
    <s v="ITH"/>
    <x v="3"/>
    <s v="DLY"/>
    <s v="15:10:00"/>
    <s v="16:00:00"/>
    <n v="956"/>
    <s v="Nonstop"/>
    <m/>
    <m/>
    <m/>
    <m/>
    <m/>
    <m/>
    <s v="15:10"/>
    <s v="16:00"/>
  </r>
  <r>
    <s v="NYC(K)"/>
    <s v="JFK"/>
    <s v="ITHACA, NY"/>
    <s v="ITH"/>
    <x v="11"/>
    <s v="7"/>
    <s v="22:20:00"/>
    <s v="23:10:00"/>
    <n v="928"/>
    <s v="Nonstop"/>
    <m/>
    <m/>
    <m/>
    <m/>
    <m/>
    <m/>
    <s v="22:20"/>
    <s v="23:10"/>
  </r>
  <r>
    <s v="NYC(K)"/>
    <s v="JFK"/>
    <s v="MIAMI, FL"/>
    <s v="MIA"/>
    <x v="3"/>
    <s v="DLY"/>
    <s v="09:30:00"/>
    <s v="12:15:00"/>
    <n v="403"/>
    <s v="Nonstop"/>
    <m/>
    <m/>
    <m/>
    <m/>
    <m/>
    <m/>
    <s v="09:30"/>
    <s v="12:15"/>
  </r>
  <r>
    <s v="NYC(L)"/>
    <s v="LGA"/>
    <s v="MIAMI, FL"/>
    <s v="MIA"/>
    <x v="3"/>
    <s v="DLY"/>
    <s v="10:00:00"/>
    <s v="12:48:00"/>
    <n v="241"/>
    <s v="Nonstop"/>
    <m/>
    <m/>
    <m/>
    <m/>
    <m/>
    <m/>
    <s v="10:00"/>
    <s v="12:48"/>
  </r>
  <r>
    <s v="NYC(K)"/>
    <s v="JFK"/>
    <s v="MIAMI, FL"/>
    <s v="MIA"/>
    <x v="3"/>
    <s v="DLY"/>
    <s v="12:30:00"/>
    <s v="15:15:00"/>
    <n v="405"/>
    <s v="Nonstop"/>
    <m/>
    <m/>
    <m/>
    <m/>
    <m/>
    <m/>
    <s v="12:30"/>
    <s v="15:15"/>
  </r>
  <r>
    <s v="NYC(E)"/>
    <s v="EWR"/>
    <s v="MIAMI, FL"/>
    <s v="MIA"/>
    <x v="3"/>
    <s v="DLY"/>
    <s v="17:00:00"/>
    <s v="19:45:00"/>
    <n v="277"/>
    <s v="Nonstop"/>
    <m/>
    <d v="2023-05-31T00:00:00"/>
    <m/>
    <m/>
    <m/>
    <m/>
    <s v="17:00"/>
    <s v="19:45"/>
  </r>
  <r>
    <s v="NYC(K)"/>
    <s v="JFK"/>
    <s v="MIAMI, FL"/>
    <s v="MIA"/>
    <x v="3"/>
    <s v="DLY"/>
    <s v="17:10:00"/>
    <s v="19:55:00"/>
    <n v="115"/>
    <s v="Nonstop"/>
    <m/>
    <m/>
    <m/>
    <m/>
    <m/>
    <m/>
    <s v="17:10"/>
    <s v="19:55"/>
  </r>
  <r>
    <s v="NYC(L)"/>
    <s v="LGA"/>
    <s v="MIAMI, FL"/>
    <s v="MIA"/>
    <x v="3"/>
    <s v="DLY"/>
    <s v="18:00:00"/>
    <s v="20:54:00"/>
    <n v="249"/>
    <s v="Nonstop"/>
    <m/>
    <m/>
    <m/>
    <m/>
    <m/>
    <m/>
    <s v="18:00"/>
    <s v="20:54"/>
  </r>
  <r>
    <s v="NYC(E)"/>
    <s v="EWR"/>
    <s v="MIAMI, FL"/>
    <s v="MIA"/>
    <x v="3"/>
    <s v="DLY"/>
    <s v="18:30:00"/>
    <s v="21:15:00"/>
    <n v="277"/>
    <s v="Nonstop"/>
    <d v="2023-06-01T00:00:00"/>
    <m/>
    <m/>
    <m/>
    <m/>
    <m/>
    <s v="18:30"/>
    <s v="21:15"/>
  </r>
  <r>
    <s v="NYC(K)"/>
    <s v="JFK"/>
    <s v="MONROVIA"/>
    <s v="ROB"/>
    <x v="21"/>
    <s v="347"/>
    <s v="19:45:00"/>
    <s v="08:35:00"/>
    <n v="180"/>
    <s v="Nonstop"/>
    <d v="2023-06-03T00:00:00"/>
    <m/>
    <m/>
    <m/>
    <m/>
    <m/>
    <s v="19:45"/>
    <s v="08:35"/>
  </r>
  <r>
    <s v="NYC(K)"/>
    <s v="JFK"/>
    <s v="MONROVIA"/>
    <s v="ROB"/>
    <x v="57"/>
    <s v="37"/>
    <s v="19:45:00"/>
    <s v="08:35:00"/>
    <n v="180"/>
    <s v="Nonstop"/>
    <m/>
    <d v="2023-05-30T00:00:00"/>
    <m/>
    <m/>
    <m/>
    <m/>
    <s v="19:45"/>
    <s v="08:35"/>
  </r>
  <r>
    <s v="NYC(K)"/>
    <s v="JFK"/>
    <s v="MUNICH"/>
    <s v="MUN"/>
    <x v="3"/>
    <s v="DLY"/>
    <s v="20:15:00"/>
    <s v="10:05:00"/>
    <n v="78"/>
    <s v="Nonstop"/>
    <m/>
    <m/>
    <m/>
    <m/>
    <m/>
    <m/>
    <s v="20:15"/>
    <s v="10:05"/>
  </r>
  <r>
    <s v="NYC(K)"/>
    <s v="JFK"/>
    <s v="NASSAU"/>
    <s v="NAS"/>
    <x v="3"/>
    <s v="DLY"/>
    <s v="09:50:00"/>
    <s v="12:35:00"/>
    <n v="205"/>
    <s v="Nonstop"/>
    <m/>
    <d v="2023-05-31T00:00:00"/>
    <m/>
    <m/>
    <m/>
    <m/>
    <s v="09:50"/>
    <s v="12:35"/>
  </r>
  <r>
    <s v="NYC(K)"/>
    <s v="JFK"/>
    <s v="NASSAU"/>
    <s v="NAS"/>
    <x v="3"/>
    <s v="DLY"/>
    <s v="09:50:00"/>
    <s v="12:40:00"/>
    <n v="205"/>
    <s v="Nonstop"/>
    <d v="2023-06-01T00:00:00"/>
    <m/>
    <m/>
    <m/>
    <m/>
    <m/>
    <s v="09:50"/>
    <s v="12:40"/>
  </r>
  <r>
    <s v="NYC(K)"/>
    <s v="JFK"/>
    <s v="NASSAU"/>
    <s v="NAS"/>
    <x v="3"/>
    <s v="DLY"/>
    <s v="12:00:00"/>
    <s v="14:50:00"/>
    <n v="207"/>
    <s v="Nonstop"/>
    <d v="2023-06-01T00:00:00"/>
    <m/>
    <m/>
    <m/>
    <m/>
    <m/>
    <s v="12:00"/>
    <s v="14:50"/>
  </r>
  <r>
    <s v="NYC(K)"/>
    <s v="JFK"/>
    <s v="NEW ORLEANS, LA"/>
    <s v="NEW"/>
    <x v="3"/>
    <s v="DLY"/>
    <s v="18:25:00"/>
    <s v="20:30:00"/>
    <n v="589"/>
    <s v="Nonstop"/>
    <m/>
    <m/>
    <m/>
    <m/>
    <m/>
    <m/>
    <s v="18:25"/>
    <s v="20:30"/>
  </r>
  <r>
    <s v="NYC(K)"/>
    <s v="JFK"/>
    <s v="ORLANDO, FL"/>
    <s v="MCO"/>
    <x v="3"/>
    <s v="DLY"/>
    <s v="09:45:00"/>
    <s v="12:18:00"/>
    <n v="501"/>
    <s v="Nonstop"/>
    <m/>
    <m/>
    <m/>
    <m/>
    <m/>
    <m/>
    <s v="09:45"/>
    <s v="12:18"/>
  </r>
  <r>
    <s v="NYC(E)"/>
    <s v="EWR"/>
    <s v="ORLANDO, FL"/>
    <s v="MCO"/>
    <x v="3"/>
    <s v="DLY"/>
    <s v="12:05:00"/>
    <s v="14:25:00"/>
    <n v="267"/>
    <s v="Nonstop"/>
    <d v="2023-06-01T00:00:00"/>
    <s v="After 31 May"/>
    <m/>
    <m/>
    <m/>
    <m/>
    <s v="12:05"/>
    <s v="14:25"/>
  </r>
  <r>
    <s v="NYC(E)"/>
    <s v="JFK"/>
    <s v="ORLANDO, FL"/>
    <s v="MCO"/>
    <x v="3"/>
    <s v="DLY"/>
    <s v="13:00:00"/>
    <s v="15:20:00"/>
    <n v="267"/>
    <s v="Nonstop"/>
    <d v="2023-06-01T00:00:00"/>
    <s v="After 31 May"/>
    <m/>
    <m/>
    <m/>
    <m/>
    <s v="13:00"/>
    <s v="15:20"/>
  </r>
  <r>
    <s v="NYC(K)"/>
    <s v="JFK"/>
    <s v="ORLANDO, FL"/>
    <s v="MCO"/>
    <x v="3"/>
    <s v="DLY"/>
    <s v="16:40:00"/>
    <s v="19:13:00"/>
    <n v="507"/>
    <s v="Nonstop"/>
    <m/>
    <m/>
    <m/>
    <m/>
    <m/>
    <m/>
    <s v="16:40"/>
    <s v="19:13"/>
  </r>
  <r>
    <s v="NYC(K)"/>
    <s v="JFK"/>
    <s v="PARIS Orly"/>
    <s v="ORY"/>
    <x v="3"/>
    <s v="DLY"/>
    <s v="18:45:00"/>
    <s v="08:00:00"/>
    <n v="110"/>
    <s v="Nonstop"/>
    <m/>
    <m/>
    <m/>
    <m/>
    <m/>
    <m/>
    <s v="18:45"/>
    <s v="08:00"/>
  </r>
  <r>
    <s v="NYC(K)"/>
    <s v="JFK"/>
    <s v="PHILADELPHIA, PA"/>
    <s v="PHL"/>
    <x v="3"/>
    <s v="DLY"/>
    <s v="17:05:00"/>
    <s v="18:02:00"/>
    <n v="101"/>
    <s v="Nonstop"/>
    <m/>
    <m/>
    <m/>
    <m/>
    <m/>
    <m/>
    <s v="17:05"/>
    <s v="18:02"/>
  </r>
  <r>
    <s v="NYC(K)"/>
    <s v="JFK"/>
    <s v="PHILADELPHIA, PA"/>
    <s v="PHL"/>
    <x v="3"/>
    <s v="DLY"/>
    <s v="20:35:00"/>
    <s v="21:34:00"/>
    <n v="206"/>
    <s v="Nonstop"/>
    <m/>
    <m/>
    <m/>
    <m/>
    <m/>
    <m/>
    <s v="20:35"/>
    <s v="21:34"/>
  </r>
  <r>
    <s v="NYC(K)"/>
    <s v="JFK"/>
    <s v="PITTSBURGH, PA"/>
    <s v="PIT"/>
    <x v="3"/>
    <s v="DLY"/>
    <s v="18:20:00"/>
    <s v="19:59:00"/>
    <n v="537"/>
    <s v="Nonstop"/>
    <m/>
    <m/>
    <m/>
    <m/>
    <m/>
    <m/>
    <s v="18:20"/>
    <s v="19:59"/>
  </r>
  <r>
    <s v="NYC(K)"/>
    <s v="JFK"/>
    <s v="POINTE A PITRE"/>
    <s v="PTP"/>
    <x v="1"/>
    <s v="67"/>
    <s v="11:30:00"/>
    <s v="15:25:00"/>
    <n v="233"/>
    <s v="Nonstop"/>
    <m/>
    <m/>
    <m/>
    <m/>
    <m/>
    <m/>
    <s v="11:30"/>
    <s v="15:25"/>
  </r>
  <r>
    <s v="NYC(K)"/>
    <s v="JFK"/>
    <s v="PROVIDENCE, RI"/>
    <s v="PVD"/>
    <x v="3"/>
    <s v="DLY"/>
    <s v="09:00:00"/>
    <s v="09:45:00"/>
    <n v="931"/>
    <s v="Nonstop"/>
    <m/>
    <m/>
    <m/>
    <m/>
    <m/>
    <m/>
    <s v="09:00"/>
    <s v="09:45"/>
  </r>
  <r>
    <s v="NYC(K)"/>
    <s v="JFK"/>
    <s v="PROVIDENCE, RI"/>
    <s v="PVD"/>
    <x v="3"/>
    <s v="DLY"/>
    <s v="22:15:00"/>
    <s v="23:05:00"/>
    <n v="921"/>
    <s v="Nonstop"/>
    <m/>
    <m/>
    <m/>
    <m/>
    <m/>
    <m/>
    <s v="22:15"/>
    <s v="23:05"/>
  </r>
  <r>
    <s v="NYC(K)"/>
    <s v="JFK"/>
    <s v="RIO DE JANEIRO"/>
    <s v="GIG"/>
    <x v="3"/>
    <s v="DLY"/>
    <s v="21:00:00"/>
    <s v="07:20:00"/>
    <n v="201"/>
    <s v="Nonstop"/>
    <d v="2023-06-01T00:00:00"/>
    <m/>
    <m/>
    <m/>
    <m/>
    <m/>
    <s v="21:00"/>
    <s v="07:20"/>
  </r>
  <r>
    <s v="NYC(K)"/>
    <s v="JFK"/>
    <s v="ROCHESTER, NY"/>
    <s v="ROC"/>
    <x v="1"/>
    <s v="67"/>
    <s v="08:40:00"/>
    <s v="09:40:00"/>
    <n v="938"/>
    <s v="Nonstop"/>
    <m/>
    <m/>
    <m/>
    <m/>
    <m/>
    <m/>
    <s v="08:40"/>
    <s v="09:40"/>
  </r>
  <r>
    <s v="NYC(K)"/>
    <s v="JFK"/>
    <s v="ROCHESTER, NY"/>
    <s v="ROC"/>
    <x v="3"/>
    <s v="DLY"/>
    <s v="11:40:00"/>
    <s v="12:40:00"/>
    <n v="940"/>
    <s v="Nonstop"/>
    <m/>
    <m/>
    <m/>
    <m/>
    <m/>
    <m/>
    <s v="11:40"/>
    <s v="12:40"/>
  </r>
  <r>
    <s v="NYC(K)"/>
    <s v="JFK"/>
    <s v="ROCHESTER, NY"/>
    <s v="ROC"/>
    <x v="3"/>
    <s v="DLY"/>
    <s v="15:30:00"/>
    <s v="16:30:00"/>
    <n v="952"/>
    <s v="Nonstop"/>
    <m/>
    <m/>
    <m/>
    <m/>
    <m/>
    <m/>
    <s v="15:30"/>
    <s v="16:30"/>
  </r>
  <r>
    <s v="NYC(K)"/>
    <s v="JFK"/>
    <s v="ROCHESTER, NY"/>
    <s v="ROC"/>
    <x v="3"/>
    <s v="DLY"/>
    <s v="18:00:00"/>
    <s v="19:05:00"/>
    <n v="946"/>
    <s v="Nonstop"/>
    <m/>
    <m/>
    <m/>
    <m/>
    <m/>
    <m/>
    <s v="18:00"/>
    <s v="19:05"/>
  </r>
  <r>
    <s v="NYC(K)"/>
    <s v="JFK"/>
    <s v="ROCHESTER, NY"/>
    <s v="ROC"/>
    <x v="58"/>
    <s v="56"/>
    <s v="22:15:00"/>
    <s v="23:10:00"/>
    <n v="950"/>
    <s v="Nonstop"/>
    <m/>
    <m/>
    <m/>
    <m/>
    <m/>
    <m/>
    <s v="22:15"/>
    <s v="23:10"/>
  </r>
  <r>
    <s v="NYC(K)"/>
    <s v="JFK"/>
    <s v="ROME Fiumicino"/>
    <s v="FCO"/>
    <x v="3"/>
    <s v="DLY"/>
    <s v="18:45:00"/>
    <s v="08:45:00"/>
    <n v="110"/>
    <s v="Nonstop"/>
    <m/>
    <m/>
    <m/>
    <m/>
    <m/>
    <m/>
    <s v="18:45"/>
    <s v="08:45"/>
  </r>
  <r>
    <s v="NYC(K)"/>
    <s v="JFK"/>
    <s v="ST. LOUIS, MO"/>
    <s v="STL"/>
    <x v="3"/>
    <s v="DLY"/>
    <s v="16:15:00"/>
    <s v="17:45:00"/>
    <n v="539"/>
    <s v="Nonstop"/>
    <m/>
    <m/>
    <m/>
    <m/>
    <m/>
    <m/>
    <s v="16:15"/>
    <s v="17:45"/>
  </r>
  <r>
    <s v="NYC(K)"/>
    <s v="JFK"/>
    <s v="ST. MAARTEN"/>
    <s v="SXM"/>
    <x v="3"/>
    <s v="DLY"/>
    <s v="09:50:00"/>
    <s v="13:35:00"/>
    <n v="225"/>
    <s v="Nonstop"/>
    <m/>
    <m/>
    <m/>
    <m/>
    <m/>
    <m/>
    <s v="09:50"/>
    <s v="13:35"/>
  </r>
  <r>
    <s v="NYC(K)"/>
    <s v="JFK"/>
    <s v="SAN FRANCISCO, CA"/>
    <s v="SFO"/>
    <x v="3"/>
    <s v="DLY"/>
    <s v="10:00:00"/>
    <s v="12:50:00"/>
    <n v="5"/>
    <s v="Nonstop"/>
    <m/>
    <m/>
    <m/>
    <m/>
    <m/>
    <m/>
    <s v="10:00"/>
    <s v="12:50"/>
  </r>
  <r>
    <s v="NYC(K)"/>
    <s v="JFK"/>
    <s v="SAN FRANCISCO, CA"/>
    <s v="SFO"/>
    <x v="3"/>
    <s v="DLY"/>
    <s v="16:00:00"/>
    <s v="18:50:00"/>
    <n v="11"/>
    <s v="Nonstop"/>
    <m/>
    <m/>
    <m/>
    <m/>
    <m/>
    <m/>
    <s v="16:00"/>
    <s v="18:50"/>
  </r>
  <r>
    <s v="NYC(K)"/>
    <s v="JFK"/>
    <s v="SYRACUSE, NY"/>
    <s v="SYR"/>
    <x v="3"/>
    <s v="DLY"/>
    <s v="08:55:00"/>
    <s v="10:05:00"/>
    <n v="930"/>
    <s v="Nonstop"/>
    <m/>
    <m/>
    <m/>
    <m/>
    <m/>
    <m/>
    <s v="08:55"/>
    <s v="10:05"/>
  </r>
  <r>
    <s v="NYC(K)"/>
    <s v="JFK"/>
    <s v="SYRACUSE, NY"/>
    <s v="SYR"/>
    <x v="3"/>
    <s v="DLY"/>
    <s v="18:40:00"/>
    <s v="19:40:00"/>
    <n v="934"/>
    <s v="Nonstop"/>
    <m/>
    <m/>
    <m/>
    <m/>
    <m/>
    <m/>
    <s v="18:40"/>
    <s v="19:40"/>
  </r>
  <r>
    <s v="NYC(K)"/>
    <s v="JFK"/>
    <s v="SYRACUSE, NY"/>
    <s v="SYR"/>
    <x v="3"/>
    <s v="DLY"/>
    <s v="22:05:00"/>
    <s v="23:00:00"/>
    <n v="936"/>
    <s v="Nonstop"/>
    <m/>
    <m/>
    <m/>
    <m/>
    <m/>
    <m/>
    <s v="22:05"/>
    <s v="23:00"/>
  </r>
  <r>
    <s v="NYC(K)"/>
    <s v="JFK"/>
    <s v="TAMPA/ST. PETE, FL"/>
    <s v="TPA"/>
    <x v="3"/>
    <s v="DLY"/>
    <s v="18:45:00"/>
    <s v="21:35:00"/>
    <n v="511"/>
    <s v="Nonstop"/>
    <m/>
    <m/>
    <m/>
    <m/>
    <m/>
    <m/>
    <s v="18:45"/>
    <s v="21:35"/>
  </r>
  <r>
    <s v="NYC(K)"/>
    <s v="JFK"/>
    <s v="UTICA/ROME, NY"/>
    <s v="RME"/>
    <x v="3"/>
    <s v="DLY"/>
    <s v="15:15:00"/>
    <s v="16:05:00"/>
    <n v="932"/>
    <s v="Nonstop"/>
    <m/>
    <m/>
    <m/>
    <m/>
    <m/>
    <m/>
    <s v="15:15"/>
    <s v="16:05"/>
  </r>
  <r>
    <s v="NYC(K)"/>
    <s v="JFK"/>
    <s v="WASHINGTON, DC National"/>
    <s v="DCA"/>
    <x v="3"/>
    <s v="DLY"/>
    <s v="08:15:00"/>
    <s v="09:20:00"/>
    <n v="597"/>
    <s v="Nonstop"/>
    <m/>
    <m/>
    <m/>
    <m/>
    <m/>
    <m/>
    <s v="08:15"/>
    <s v="09:20"/>
  </r>
  <r>
    <s v="NYC(K)"/>
    <s v="JFK"/>
    <s v="WASHINGTON, DC National"/>
    <s v="DCA"/>
    <x v="3"/>
    <s v="DLY"/>
    <s v="15:30:00"/>
    <s v="16:40:00"/>
    <n v="218"/>
    <s v="Nonstop"/>
    <m/>
    <m/>
    <m/>
    <m/>
    <m/>
    <m/>
    <s v="15:30"/>
    <s v="16:40"/>
  </r>
  <r>
    <s v="NYC(K)"/>
    <s v="JFK"/>
    <s v="WASHINGTON, DC National"/>
    <s v="DCA"/>
    <x v="3"/>
    <s v="DLY"/>
    <s v="16:50:00"/>
    <s v="18:02:00"/>
    <n v="111"/>
    <s v="Nonstop"/>
    <m/>
    <m/>
    <m/>
    <m/>
    <m/>
    <m/>
    <s v="16:50"/>
    <s v="18:02"/>
  </r>
  <r>
    <s v="NYC(K)"/>
    <s v="JFK"/>
    <s v="WASHINGTON, DC National"/>
    <s v="DCA"/>
    <x v="3"/>
    <s v="DLY"/>
    <s v="17:25:00"/>
    <s v="19:00:00"/>
    <n v="73"/>
    <s v="Nonstop"/>
    <m/>
    <m/>
    <m/>
    <m/>
    <m/>
    <m/>
    <s v="17:25"/>
    <s v="19:00"/>
  </r>
  <r>
    <s v="NYC(K)"/>
    <s v="JFK"/>
    <s v="WASHINGTON, DC Dulles"/>
    <s v="IAD"/>
    <x v="3"/>
    <s v="DLY"/>
    <s v="17:50:00"/>
    <s v="19:19:00"/>
    <n v="551"/>
    <s v="Nonstop"/>
    <m/>
    <m/>
    <m/>
    <m/>
    <m/>
    <m/>
    <s v="17:50"/>
    <s v="19:19"/>
  </r>
  <r>
    <s v="NYC(K)"/>
    <s v="JFK"/>
    <s v="WASHINGTON, DC National"/>
    <s v="DCA"/>
    <x v="3"/>
    <s v="DLY"/>
    <s v="19:20:00"/>
    <s v="20:39:00"/>
    <n v="800"/>
    <s v="Nonstop"/>
    <m/>
    <m/>
    <m/>
    <m/>
    <m/>
    <m/>
    <s v="19:20"/>
    <s v="20:39"/>
  </r>
  <r>
    <s v="NYC(K)"/>
    <s v="JFK"/>
    <s v="WASHINGTON, DC National"/>
    <s v="DCA"/>
    <x v="3"/>
    <s v="DLY"/>
    <s v="20:30:00"/>
    <s v="21:49:00"/>
    <n v="595"/>
    <s v="Nonstop"/>
    <m/>
    <m/>
    <m/>
    <m/>
    <m/>
    <m/>
    <s v="20:30"/>
    <s v="21:49"/>
  </r>
  <r>
    <s v="NYC(E)"/>
    <s v="EWR"/>
    <s v="WEST PALM BEACH, FL"/>
    <s v="PBI"/>
    <x v="3"/>
    <s v="DLY"/>
    <s v="08:30:00"/>
    <s v="11:02:00"/>
    <n v="271"/>
    <s v="Nonstop"/>
    <m/>
    <m/>
    <m/>
    <m/>
    <m/>
    <m/>
    <s v="08:30"/>
    <s v="11:02"/>
  </r>
  <r>
    <s v="NYC(K)"/>
    <s v="JFK"/>
    <s v="WEST PALM BEACH, FL"/>
    <s v="PBI"/>
    <x v="3"/>
    <s v="DLY"/>
    <s v="12:00:00"/>
    <s v="14:33:00"/>
    <n v="237"/>
    <s v="Nonstop"/>
    <m/>
    <m/>
    <m/>
    <m/>
    <m/>
    <m/>
    <s v="12:00"/>
    <s v="14:33"/>
  </r>
  <r>
    <s v="NYC(L)"/>
    <s v="LGA"/>
    <s v="WEST PALM BEACH, FL"/>
    <s v="PBI"/>
    <x v="3"/>
    <s v="DLY"/>
    <s v="13:30:00"/>
    <s v="16:04:00"/>
    <n v="275"/>
    <s v="Nonstop"/>
    <m/>
    <m/>
    <m/>
    <m/>
    <m/>
    <m/>
    <s v="13:30"/>
    <s v="16:04"/>
  </r>
  <r>
    <s v="Nuremberg"/>
    <s v="NUE"/>
    <s v="BERLIN"/>
    <s v="TXL"/>
    <x v="10"/>
    <s v="123456"/>
    <s v="10:30:00"/>
    <s v="11:30:00"/>
    <n v="670"/>
    <s v="Nonstop"/>
    <m/>
    <m/>
    <m/>
    <m/>
    <m/>
    <m/>
    <s v="10:30"/>
    <s v="11:30"/>
  </r>
  <r>
    <s v="Nuremberg"/>
    <s v="NUE"/>
    <s v="BERLIN"/>
    <s v="TXL"/>
    <x v="11"/>
    <s v="7"/>
    <s v="13:35:00"/>
    <s v="14:35:00"/>
    <n v="672"/>
    <s v="Nonstop"/>
    <m/>
    <m/>
    <m/>
    <m/>
    <m/>
    <m/>
    <s v="13:35"/>
    <s v="14:35"/>
  </r>
  <r>
    <s v="Nuremberg"/>
    <s v="NUE"/>
    <s v="BERLIN"/>
    <s v="TXL"/>
    <x v="12"/>
    <s v="6"/>
    <s v="16:05:00"/>
    <s v="17:05:00"/>
    <n v="674"/>
    <s v="Nonstop"/>
    <m/>
    <m/>
    <m/>
    <m/>
    <m/>
    <m/>
    <s v="16:05"/>
    <s v="17:05"/>
  </r>
  <r>
    <s v="Nuremberg"/>
    <s v="NUE"/>
    <s v="BERLIN"/>
    <s v="TXL"/>
    <x v="9"/>
    <s v="123457"/>
    <s v="20:40:00"/>
    <s v="21:40:00"/>
    <n v="676"/>
    <s v="Nonstop"/>
    <m/>
    <m/>
    <m/>
    <m/>
    <m/>
    <m/>
    <s v="20:40"/>
    <s v="21:40"/>
  </r>
  <r>
    <s v="Orlando"/>
    <s v="MCO"/>
    <s v="FORT MYERS, FL"/>
    <s v="RSW"/>
    <x v="3"/>
    <s v="DLY"/>
    <s v="12:10:00"/>
    <s v="12:48:00"/>
    <n v="541"/>
    <s v="Nonstop"/>
    <m/>
    <m/>
    <m/>
    <m/>
    <m/>
    <m/>
    <s v="12:10"/>
    <s v="12:48"/>
  </r>
  <r>
    <s v="Orlando"/>
    <s v="MCO"/>
    <s v="MIAMI, FL"/>
    <s v="MIA"/>
    <x v="3"/>
    <s v="DLY"/>
    <s v="07:30:00"/>
    <s v="08:15:00"/>
    <n v="371"/>
    <s v="Nonstop"/>
    <m/>
    <m/>
    <m/>
    <m/>
    <m/>
    <m/>
    <s v="07:30"/>
    <s v="08:15"/>
  </r>
  <r>
    <s v="Orlando"/>
    <s v="MCO"/>
    <s v="MIAMI, FL"/>
    <s v="MIA"/>
    <x v="3"/>
    <s v="DLY"/>
    <s v="08:30:00"/>
    <s v="09:15:00"/>
    <n v="373"/>
    <s v="Nonstop"/>
    <m/>
    <m/>
    <m/>
    <m/>
    <m/>
    <m/>
    <s v="08:30"/>
    <s v="09:15"/>
  </r>
  <r>
    <s v="Orlando"/>
    <s v="MCO"/>
    <s v="MIAMI, FL"/>
    <s v="MIA"/>
    <x v="3"/>
    <s v="DLY"/>
    <s v="09:30:00"/>
    <s v="10:15:00"/>
    <n v="375"/>
    <s v="Nonstop"/>
    <m/>
    <m/>
    <m/>
    <m/>
    <m/>
    <m/>
    <s v="09:30"/>
    <s v="10:15"/>
  </r>
  <r>
    <s v="Orlando"/>
    <s v="MCO"/>
    <s v="MIAMI, FL"/>
    <s v="MIA"/>
    <x v="3"/>
    <s v="DLY"/>
    <s v="10:30:00"/>
    <s v="11:15:00"/>
    <n v="377"/>
    <s v="Nonstop"/>
    <m/>
    <m/>
    <m/>
    <m/>
    <m/>
    <m/>
    <s v="10:30"/>
    <s v="11:15"/>
  </r>
  <r>
    <s v="Orlando"/>
    <s v="MCO"/>
    <s v="MIAMI, FL"/>
    <s v="MIA"/>
    <x v="3"/>
    <s v="DLY"/>
    <s v="11:30:00"/>
    <s v="12:15:00"/>
    <n v="379"/>
    <s v="Nonstop"/>
    <m/>
    <m/>
    <m/>
    <m/>
    <m/>
    <m/>
    <s v="11:30"/>
    <s v="12:15"/>
  </r>
  <r>
    <s v="Orlando"/>
    <s v="MCO"/>
    <s v="MIAMI, FL"/>
    <s v="MIA"/>
    <x v="3"/>
    <s v="DLY"/>
    <s v="12:30:00"/>
    <s v="13:15:00"/>
    <n v="381"/>
    <s v="Nonstop"/>
    <m/>
    <m/>
    <m/>
    <m/>
    <m/>
    <m/>
    <s v="12:30"/>
    <s v="13:15"/>
  </r>
  <r>
    <s v="Orlando"/>
    <s v="MCO"/>
    <s v="MIAMI, FL"/>
    <s v="MIA"/>
    <x v="3"/>
    <s v="DLY"/>
    <s v="13:30:00"/>
    <s v="14:15:00"/>
    <n v="383"/>
    <s v="Nonstop"/>
    <m/>
    <m/>
    <m/>
    <m/>
    <m/>
    <m/>
    <s v="13:30"/>
    <s v="14:15"/>
  </r>
  <r>
    <s v="Orlando"/>
    <s v="MCO"/>
    <s v="MIAMI, FL"/>
    <s v="MIA"/>
    <x v="3"/>
    <s v="DLY"/>
    <s v="14:30:00"/>
    <s v="15:15:00"/>
    <n v="385"/>
    <s v="Nonstop"/>
    <m/>
    <m/>
    <m/>
    <m/>
    <m/>
    <m/>
    <s v="14:30"/>
    <s v="15:15"/>
  </r>
  <r>
    <s v="Orlando"/>
    <s v="MCO"/>
    <s v="MIAMI, FL"/>
    <s v="MIA"/>
    <x v="3"/>
    <s v="DLY"/>
    <s v="15:30:00"/>
    <s v="16:15:00"/>
    <n v="387"/>
    <s v="Nonstop"/>
    <m/>
    <m/>
    <m/>
    <m/>
    <m/>
    <m/>
    <s v="15:30"/>
    <s v="16:15"/>
  </r>
  <r>
    <s v="Orlando"/>
    <s v="MCO"/>
    <s v="MIAMI, FL"/>
    <s v="MIA"/>
    <x v="3"/>
    <s v="DLY"/>
    <s v="16:30:00"/>
    <s v="17:15:00"/>
    <n v="98"/>
    <s v="Nonstop"/>
    <m/>
    <m/>
    <m/>
    <m/>
    <m/>
    <m/>
    <s v="16:30"/>
    <s v="17:15"/>
  </r>
  <r>
    <s v="Orlando"/>
    <s v="MCO"/>
    <s v="MIAMI, FL"/>
    <s v="MIA"/>
    <x v="3"/>
    <s v="DLY"/>
    <s v="17:30:00"/>
    <s v="18:15:00"/>
    <n v="391"/>
    <s v="Nonstop"/>
    <m/>
    <m/>
    <m/>
    <m/>
    <m/>
    <m/>
    <s v="17:30"/>
    <s v="18:15"/>
  </r>
  <r>
    <s v="Orlando"/>
    <s v="MCO"/>
    <s v="MIAMI, FL"/>
    <s v="MIA"/>
    <x v="3"/>
    <s v="DLY"/>
    <s v="18:30:00"/>
    <s v="19:15:00"/>
    <n v="393"/>
    <s v="Nonstop"/>
    <m/>
    <m/>
    <m/>
    <m/>
    <m/>
    <m/>
    <s v="18:30"/>
    <s v="19:15"/>
  </r>
  <r>
    <s v="Orlando"/>
    <s v="MCO"/>
    <s v="MIAMI, FL"/>
    <s v="MIA"/>
    <x v="3"/>
    <s v="DLY"/>
    <s v="19:30:00"/>
    <s v="20:15:00"/>
    <n v="395"/>
    <s v="Nonstop"/>
    <m/>
    <m/>
    <m/>
    <m/>
    <m/>
    <m/>
    <s v="19:30"/>
    <s v="20:15"/>
  </r>
  <r>
    <s v="Orlando"/>
    <s v="MCO"/>
    <s v="MIAMI, FL"/>
    <s v="MIA"/>
    <x v="3"/>
    <s v="DLY"/>
    <s v="20:30:00"/>
    <s v="21:14:00"/>
    <n v="397"/>
    <s v="Nonstop"/>
    <m/>
    <m/>
    <m/>
    <m/>
    <m/>
    <m/>
    <s v="20:30"/>
    <s v="21:14"/>
  </r>
  <r>
    <s v="Orlando"/>
    <s v="MCO"/>
    <s v="MIAMI, FL"/>
    <s v="MIA"/>
    <x v="3"/>
    <s v="DLY"/>
    <s v="21:30:00"/>
    <s v="22:15:00"/>
    <n v="399"/>
    <s v="Nonstop"/>
    <m/>
    <m/>
    <m/>
    <m/>
    <m/>
    <m/>
    <s v="21:30"/>
    <s v="22:15"/>
  </r>
  <r>
    <s v="Orlando"/>
    <s v="MCO"/>
    <s v="New York, NY/Newark, NJ (K)"/>
    <s v="JFK"/>
    <x v="3"/>
    <s v="DLY"/>
    <s v="13:55:00"/>
    <s v="16:19:00"/>
    <n v="502"/>
    <s v="Nonstop"/>
    <m/>
    <m/>
    <m/>
    <m/>
    <m/>
    <m/>
    <s v="13:55"/>
    <s v="16:19"/>
  </r>
  <r>
    <s v="Orlando"/>
    <s v="MCO"/>
    <s v="New York, NY/Newark, NJ (E)"/>
    <s v="EWR"/>
    <x v="3"/>
    <s v="DLY"/>
    <s v="15:15:00"/>
    <s v="17:25:00"/>
    <n v="268"/>
    <s v="Nonstop"/>
    <d v="2023-07-01T00:00:00"/>
    <m/>
    <m/>
    <m/>
    <m/>
    <m/>
    <s v="15:15"/>
    <s v="17:25"/>
  </r>
  <r>
    <s v="Orlando"/>
    <s v="MCO"/>
    <s v="New York, NY/Newark, NJ (E)"/>
    <s v="EWR"/>
    <x v="3"/>
    <s v="DLY"/>
    <s v="16:30:00"/>
    <s v="18:40:00"/>
    <n v="268"/>
    <s v="Nonstop"/>
    <m/>
    <s v="After 31 May"/>
    <m/>
    <m/>
    <m/>
    <m/>
    <s v="16:30"/>
    <s v="18:40"/>
  </r>
  <r>
    <s v="Orlando"/>
    <s v="MCO"/>
    <s v="New York, NY/Newark, NJ (K)"/>
    <s v="JFK"/>
    <x v="3"/>
    <s v="DLY"/>
    <s v="17:10:00"/>
    <s v="19:34:00"/>
    <n v="506"/>
    <s v="Nonstop"/>
    <m/>
    <m/>
    <m/>
    <m/>
    <m/>
    <m/>
    <s v="17:10"/>
    <s v="19:34"/>
  </r>
  <r>
    <s v="Orlando"/>
    <s v="MCO"/>
    <s v="WASHINGTON, DC National"/>
    <s v="DCA"/>
    <x v="3"/>
    <s v="DLY"/>
    <s v="10:05:00"/>
    <s v="12:00:00"/>
    <n v="540"/>
    <s v="Nonstop"/>
    <m/>
    <m/>
    <m/>
    <m/>
    <m/>
    <m/>
    <s v="10:05"/>
    <s v="12:00"/>
  </r>
  <r>
    <s v="Orlando"/>
    <s v="MCO"/>
    <s v="WEST PALM BEACH, FL"/>
    <s v="PBI"/>
    <x v="3"/>
    <s v="DLY"/>
    <s v="19:40:00"/>
    <s v="20:25:00"/>
    <n v="507"/>
    <s v="Nonstop"/>
    <m/>
    <m/>
    <m/>
    <m/>
    <m/>
    <m/>
    <s v="19:40"/>
    <s v="20:25"/>
  </r>
  <r>
    <s v="Osaka"/>
    <s v="ITM"/>
    <s v="HONOLULU, HI"/>
    <s v="HNL"/>
    <x v="26"/>
    <s v="57"/>
    <s v="18:00:00"/>
    <s v="6:25 AM +1"/>
    <n v="812"/>
    <s v="Nonstop"/>
    <m/>
    <m/>
    <m/>
    <m/>
    <m/>
    <m/>
    <s v="18:00"/>
    <s v="06:25"/>
  </r>
  <r>
    <s v="Osaka"/>
    <s v="ITM"/>
    <s v="HONOLULU, HI"/>
    <s v="HNL"/>
    <x v="29"/>
    <s v="1"/>
    <s v="19:55:00"/>
    <s v="6:20 AM +1"/>
    <n v="10"/>
    <s v="Nonstop"/>
    <m/>
    <m/>
    <m/>
    <m/>
    <m/>
    <m/>
    <s v="19:55"/>
    <s v="06:20"/>
  </r>
  <r>
    <s v="Osaka"/>
    <s v="ITM"/>
    <s v="SEOUL"/>
    <s v="ICN"/>
    <x v="32"/>
    <s v="3"/>
    <s v="18:45:00"/>
    <s v="20:10:00"/>
    <n v="831"/>
    <s v="Nonstop"/>
    <m/>
    <m/>
    <m/>
    <m/>
    <m/>
    <m/>
    <s v="18:45"/>
    <s v="20:10"/>
  </r>
  <r>
    <s v="Osaka"/>
    <s v="ITM"/>
    <s v="TOKYO Narita"/>
    <s v="NRT"/>
    <x v="59"/>
    <s v="134567"/>
    <s v="13:45:00"/>
    <s v="14:55:00"/>
    <n v="16"/>
    <s v="Nonstop"/>
    <m/>
    <m/>
    <m/>
    <m/>
    <s v="No Local Traffic On Above Flight"/>
    <m/>
    <s v="13:45"/>
    <s v="14:55"/>
  </r>
  <r>
    <s v="Osaka"/>
    <s v="ITM"/>
    <s v="TOKYO Narita"/>
    <s v="NRT"/>
    <x v="60"/>
    <s v="13456"/>
    <s v="15:15:00"/>
    <s v="16:30:00"/>
    <n v="830"/>
    <s v="Nonstop"/>
    <m/>
    <m/>
    <m/>
    <m/>
    <s v="No Local Traffic On Above Flight; Ops As 830 On ExTuSu"/>
    <m/>
    <s v="15:15"/>
    <s v="16:30"/>
  </r>
  <r>
    <s v="Paris"/>
    <s v="ORY"/>
    <s v="NEW YORK/NY Newark"/>
    <m/>
    <x v="3"/>
    <s v="DLY"/>
    <s v="12:30:00"/>
    <s v="14:15:00"/>
    <n v="115"/>
    <s v="Nonstop"/>
    <m/>
    <m/>
    <m/>
    <m/>
    <m/>
    <m/>
    <s v="12:30"/>
    <s v="14:15"/>
  </r>
  <r>
    <s v="Philadelphia"/>
    <s v="PHL"/>
    <s v="NEW YORK/NY Newark"/>
    <m/>
    <x v="3"/>
    <s v="DLY"/>
    <s v="08:10:00"/>
    <s v="08:58:00"/>
    <n v="205"/>
    <s v="Nonstop"/>
    <m/>
    <m/>
    <m/>
    <m/>
    <m/>
    <m/>
    <s v="08:10"/>
    <s v="08:58"/>
  </r>
  <r>
    <s v="Philadelphia"/>
    <s v="PHL"/>
    <s v="NEW YORK/NY Newark"/>
    <m/>
    <x v="3"/>
    <s v="DLY"/>
    <s v="16:40:00"/>
    <s v="17:30:00"/>
    <n v="102"/>
    <s v="Nonstop"/>
    <m/>
    <m/>
    <m/>
    <m/>
    <m/>
    <m/>
    <s v="16:40"/>
    <s v="17:30"/>
  </r>
  <r>
    <s v="Philadelphia"/>
    <s v="PHL"/>
    <s v="PITTSBURGH, PA"/>
    <s v="PIT"/>
    <x v="3"/>
    <s v="DLY"/>
    <s v="22:00:00"/>
    <s v="23:05:00"/>
    <n v="206"/>
    <s v="Nonstop"/>
    <m/>
    <m/>
    <m/>
    <m/>
    <m/>
    <m/>
    <s v="22:00"/>
    <s v="23:05"/>
  </r>
  <r>
    <s v="Philadelphia"/>
    <s v="PHL"/>
    <s v="RALEIGH/DURHAM, NC"/>
    <s v="RDU"/>
    <x v="3"/>
    <s v="DLY"/>
    <s v="18:30:00"/>
    <s v="19:36:00"/>
    <n v="101"/>
    <s v="Nonstop"/>
    <m/>
    <m/>
    <m/>
    <m/>
    <m/>
    <m/>
    <s v="18:30"/>
    <s v="19:36"/>
  </r>
  <r>
    <s v="Pittsburgh"/>
    <s v="PIT"/>
    <s v="CINCINNATI, OH"/>
    <s v="CVG"/>
    <x v="3"/>
    <s v="DLY"/>
    <s v="20:30:00"/>
    <s v="21:30:00"/>
    <n v="537"/>
    <s v="Nonstop"/>
    <m/>
    <m/>
    <m/>
    <m/>
    <m/>
    <m/>
    <s v="20:30"/>
    <s v="21:30"/>
  </r>
  <r>
    <s v="Pittsburgh"/>
    <s v="PIT"/>
    <s v="NEW YORK/NY Newark"/>
    <m/>
    <x v="3"/>
    <s v="DLY"/>
    <s v="14:55:00"/>
    <s v="16:15:00"/>
    <n v="546"/>
    <s v="Nonstop"/>
    <m/>
    <m/>
    <m/>
    <m/>
    <m/>
    <m/>
    <s v="14:55"/>
    <s v="16:15"/>
  </r>
  <r>
    <s v="Pittsburgh"/>
    <s v="PIT"/>
    <s v="PHILADELPHIA, PA"/>
    <s v="PHL"/>
    <x v="3"/>
    <s v="DLY"/>
    <s v="06:45:00"/>
    <s v="07:40:00"/>
    <n v="205"/>
    <s v="Nonstop"/>
    <m/>
    <m/>
    <m/>
    <m/>
    <m/>
    <m/>
    <s v="06:45"/>
    <s v="07:40"/>
  </r>
  <r>
    <s v="Pointe a Pitre"/>
    <s v="PTP"/>
    <s v="FORT DE FRANCE"/>
    <s v="FDF"/>
    <x v="1"/>
    <s v="67"/>
    <s v="16:20:00"/>
    <s v="16:50:00"/>
    <n v="234"/>
    <s v="Nonstop"/>
    <m/>
    <m/>
    <m/>
    <m/>
    <s v="No Local Traffic On Above Flight"/>
    <m/>
    <s v="16:20"/>
    <s v="16:50"/>
  </r>
  <r>
    <s v="Port Of Spain"/>
    <s v="POS"/>
    <s v="ANTIGUA"/>
    <s v="ANU"/>
    <x v="2"/>
    <s v="146"/>
    <s v="07:00:00"/>
    <s v="08:20:00"/>
    <n v="436"/>
    <s v="Nonstop"/>
    <m/>
    <m/>
    <m/>
    <m/>
    <m/>
    <m/>
    <s v="07:00"/>
    <s v="08:20"/>
  </r>
  <r>
    <s v="Port Of Spain"/>
    <s v="POS"/>
    <s v="BARBADOS"/>
    <s v="BGI"/>
    <x v="5"/>
    <s v="235"/>
    <s v="07:00:00"/>
    <s v="07:45:00"/>
    <n v="436"/>
    <s v="Nonstop"/>
    <m/>
    <m/>
    <m/>
    <m/>
    <m/>
    <m/>
    <s v="07:00"/>
    <s v="07:45"/>
  </r>
  <r>
    <s v="Port Of Spain"/>
    <s v="POS"/>
    <s v="BARBADOS"/>
    <s v="BGI"/>
    <x v="6"/>
    <s v="13457"/>
    <s v="08:20:00"/>
    <s v="09:10:00"/>
    <n v="220"/>
    <s v="Nonstop"/>
    <m/>
    <m/>
    <m/>
    <m/>
    <m/>
    <m/>
    <s v="08:20"/>
    <s v="09:10"/>
  </r>
  <r>
    <s v="Providence RI"/>
    <s v="PVD"/>
    <s v="NEW YORK/NY Newark"/>
    <m/>
    <x v="3"/>
    <s v="DLY"/>
    <s v="07:10:00"/>
    <s v="08:00:00"/>
    <n v="930"/>
    <s v="Nonstop"/>
    <m/>
    <m/>
    <m/>
    <m/>
    <m/>
    <m/>
    <s v="07:10"/>
    <s v="08:00"/>
  </r>
  <r>
    <s v="Providence RI"/>
    <s v="PVD"/>
    <s v="NEW YORK/NY Newark"/>
    <m/>
    <x v="3"/>
    <s v="DLY"/>
    <s v="13:40:00"/>
    <s v="14:25:00"/>
    <n v="942"/>
    <s v="Nonstop"/>
    <m/>
    <m/>
    <m/>
    <m/>
    <m/>
    <m/>
    <s v="13:40"/>
    <s v="14:25"/>
  </r>
  <r>
    <s v="Providence RI"/>
    <s v="PVD"/>
    <s v="NEW YORK/NY Newark"/>
    <m/>
    <x v="3"/>
    <s v="DLY"/>
    <s v="19:50:00"/>
    <s v="20:40:00"/>
    <n v="918"/>
    <s v="Nonstop"/>
    <m/>
    <m/>
    <m/>
    <m/>
    <m/>
    <m/>
    <s v="19:50"/>
    <s v="20:40"/>
  </r>
  <r>
    <s v="Raleigh/Durham NC"/>
    <s v="RDU"/>
    <s v="PHILADELPHIA, PA"/>
    <s v="PHL"/>
    <x v="3"/>
    <s v="DLY"/>
    <s v="15:00:00"/>
    <s v="16:07:00"/>
    <n v="102"/>
    <s v="Nonstop"/>
    <m/>
    <m/>
    <m/>
    <m/>
    <m/>
    <m/>
    <s v="15:00"/>
    <s v="16:07"/>
  </r>
  <r>
    <s v="Rio De Janero"/>
    <s v="GIG"/>
    <s v="BUENOS AIRES Ezeiza"/>
    <s v="EZE"/>
    <x v="2"/>
    <s v="146"/>
    <s v="08:35:00"/>
    <s v="11:35:00"/>
    <n v="201"/>
    <s v="Nonstop"/>
    <m/>
    <m/>
    <m/>
    <m/>
    <m/>
    <m/>
    <s v="08:35"/>
    <s v="11:35"/>
  </r>
  <r>
    <s v="Rochester"/>
    <s v="ROC"/>
    <s v="NEW YORK/NY Newark (K)"/>
    <s v="JFK"/>
    <x v="1"/>
    <s v="67"/>
    <s v="07:05:00"/>
    <s v="08:00:00"/>
    <n v="939"/>
    <s v="Nonstop"/>
    <m/>
    <m/>
    <m/>
    <m/>
    <m/>
    <m/>
    <s v="07:05"/>
    <s v="08:00"/>
  </r>
  <r>
    <s v="Rochester"/>
    <s v="ROC"/>
    <s v="NEW YORK/NY Newark (K)"/>
    <s v="JFK"/>
    <x v="3"/>
    <s v="DLY"/>
    <s v="10:05:00"/>
    <s v="11:00:00"/>
    <n v="941"/>
    <s v="Nonstop"/>
    <m/>
    <m/>
    <m/>
    <m/>
    <m/>
    <m/>
    <s v="10:05"/>
    <s v="11:00"/>
  </r>
  <r>
    <s v="Rochester"/>
    <s v="ROC"/>
    <s v="NEW YORK/NY Newark (K)"/>
    <s v="JFK"/>
    <x v="3"/>
    <s v="DLY"/>
    <s v="13:15:00"/>
    <s v="14:15:00"/>
    <n v="943"/>
    <s v="Nonstop"/>
    <m/>
    <m/>
    <m/>
    <m/>
    <m/>
    <m/>
    <s v="13:15"/>
    <s v="14:15"/>
  </r>
  <r>
    <s v="Rochester"/>
    <s v="ROC"/>
    <s v="NEW YORK/NY Newark (K)"/>
    <s v="JFK"/>
    <x v="3"/>
    <s v="DLY"/>
    <s v="15:30:00"/>
    <s v="16:30:00"/>
    <n v="947"/>
    <s v="Nonstop"/>
    <m/>
    <m/>
    <m/>
    <m/>
    <m/>
    <m/>
    <s v="15:30"/>
    <s v="16:30"/>
  </r>
  <r>
    <s v="Rochester"/>
    <s v="ROC"/>
    <s v="NEW YORK/NY Newark (K)"/>
    <s v="JFK"/>
    <x v="3"/>
    <s v="DLY"/>
    <s v="20:00:00"/>
    <s v="21:00:00"/>
    <n v="953"/>
    <s v="Nonstop"/>
    <m/>
    <m/>
    <m/>
    <m/>
    <m/>
    <m/>
    <s v="20:00"/>
    <s v="21:00"/>
  </r>
  <r>
    <s v="St. Kitts"/>
    <s v="SKB"/>
    <s v="MIAMI, FL"/>
    <s v="MIA"/>
    <x v="11"/>
    <s v="7"/>
    <s v="08:50:00"/>
    <s v="11:55:00"/>
    <n v="436"/>
    <s v="Nonstop"/>
    <m/>
    <m/>
    <m/>
    <m/>
    <m/>
    <m/>
    <s v="08:50"/>
    <s v="11:55"/>
  </r>
  <r>
    <s v="St. Kitts"/>
    <s v="SKB"/>
    <s v="NEW YORK/NY Newark"/>
    <m/>
    <x v="1"/>
    <s v="67"/>
    <s v="14:55:00"/>
    <s v="19:05:00"/>
    <n v="230"/>
    <s v="Nonstop"/>
    <m/>
    <m/>
    <m/>
    <m/>
    <m/>
    <m/>
    <s v="14:55"/>
    <s v="19:05"/>
  </r>
  <r>
    <s v="St. Kitts"/>
    <s v="SKB"/>
    <s v="PORT OF SPAIN"/>
    <s v="POS"/>
    <x v="32"/>
    <s v="3"/>
    <s v="17:40:00"/>
    <s v="19:05:00"/>
    <n v="435"/>
    <s v="Nonstop"/>
    <m/>
    <m/>
    <m/>
    <m/>
    <m/>
    <m/>
    <s v="17:40"/>
    <s v="19:05"/>
  </r>
  <r>
    <s v="St. Lucia"/>
    <s v="SKB"/>
    <s v="PORT OF SPAIN"/>
    <s v="POS"/>
    <x v="4"/>
    <s v="26"/>
    <s v="16:50:00"/>
    <s v="17:45:00"/>
    <s v="21»"/>
    <s v="Nonstop"/>
    <m/>
    <m/>
    <m/>
    <m/>
    <m/>
    <m/>
    <s v="16:50"/>
    <s v="17:45"/>
  </r>
  <r>
    <s v="St. Maarten"/>
    <s v="SXM"/>
    <s v="NEW YORK, NY/NEWARK, NJ"/>
    <m/>
    <x v="61"/>
    <s v=""/>
    <s v="14:55:00"/>
    <s v="19:00:00"/>
    <d v="1900-08-13T00:00:00"/>
    <s v="Nonstop"/>
    <s v="Nonstop"/>
    <m/>
    <m/>
    <m/>
    <m/>
    <m/>
    <s v="14:55"/>
    <s v="19:00"/>
  </r>
  <r>
    <s v="San Antonio"/>
    <s v="SAT"/>
    <s v="NEW ORLEANS, LA"/>
    <s v="MSY"/>
    <x v="3"/>
    <s v="DLY"/>
    <s v="10:10:00"/>
    <s v="11:30:00"/>
    <n v="588"/>
    <s v="Nonstop"/>
    <m/>
    <m/>
    <m/>
    <m/>
    <m/>
    <m/>
    <s v="10:10"/>
    <s v="11:30"/>
  </r>
  <r>
    <s v="San Francisco"/>
    <s v="SFO"/>
    <s v="HONG KONG"/>
    <s v="HKG"/>
    <x v="3"/>
    <s v="DLY"/>
    <s v="14:15:00"/>
    <s v="7:15 PM +1"/>
    <n v="215"/>
    <s v="Nonstop"/>
    <m/>
    <m/>
    <m/>
    <m/>
    <m/>
    <m/>
    <s v="14:15"/>
    <s v="19:15"/>
  </r>
  <r>
    <s v="San Francisco"/>
    <s v="SFO"/>
    <s v="HONOLULU, HI"/>
    <s v="HNL"/>
    <x v="9"/>
    <s v="123457"/>
    <s v="17:45:00"/>
    <s v="19:59:00"/>
    <n v="125"/>
    <s v="Nonstop"/>
    <d v="2023-05-30T00:00:00"/>
    <m/>
    <m/>
    <m/>
    <s v="Above Flt Ops Daily Eff 30 May"/>
    <m/>
    <s v="17:45"/>
    <s v="19:59"/>
  </r>
  <r>
    <s v="San Francisco"/>
    <s v="SFO"/>
    <s v="HONOLULU, HI"/>
    <s v="HNL"/>
    <x v="12"/>
    <s v="6"/>
    <s v="18:30:00"/>
    <s v="20:44:00"/>
    <n v="125"/>
    <s v="Nonstop"/>
    <m/>
    <d v="2023-05-26T00:00:00"/>
    <m/>
    <m/>
    <s v="Above Flt Dis After 26 May"/>
    <m/>
    <s v="18:30"/>
    <s v="20:44"/>
  </r>
  <r>
    <s v="San Francisco"/>
    <s v="SFO"/>
    <s v="HOUSTON, TX Intercontinental"/>
    <s v="IAH"/>
    <x v="3"/>
    <s v="DLY"/>
    <s v="12:30:00"/>
    <s v="18:10:00"/>
    <n v="12"/>
    <s v="Nonstop"/>
    <m/>
    <m/>
    <m/>
    <m/>
    <m/>
    <m/>
    <s v="12:30"/>
    <s v="18:10"/>
  </r>
  <r>
    <s v="San Francisco"/>
    <s v="SFO"/>
    <s v="LOS ANGELES, CA"/>
    <s v="LAX"/>
    <x v="6"/>
    <s v="13457"/>
    <s v="19:45:00"/>
    <s v="21:06:00"/>
    <n v="815"/>
    <s v="Nonstop"/>
    <m/>
    <m/>
    <m/>
    <m/>
    <m/>
    <m/>
    <s v="19:45"/>
    <s v="21:06"/>
  </r>
  <r>
    <s v="San Francisco"/>
    <s v="SFO"/>
    <s v="LOS ANGELES, CA"/>
    <s v="LAX"/>
    <x v="62"/>
    <s v="35"/>
    <s v="20:00:00"/>
    <s v="21:21:00"/>
    <n v="121"/>
    <s v="Nonstop"/>
    <m/>
    <d v="2023-05-25T00:00:00"/>
    <m/>
    <m/>
    <s v="Above Flt Dis After 25 May"/>
    <m/>
    <s v="20:00"/>
    <s v="21:21"/>
  </r>
  <r>
    <s v="San Francisco"/>
    <s v="SFO"/>
    <s v="LOS ANGELES, CA"/>
    <s v="LAX"/>
    <x v="18"/>
    <s v="2"/>
    <s v="20:20:00"/>
    <s v="21:41:00"/>
    <n v="121"/>
    <s v="Nonstop"/>
    <m/>
    <d v="2023-05-29T00:00:00"/>
    <m/>
    <m/>
    <s v="Above Fit Dis After 29 May"/>
    <m/>
    <s v="20:20"/>
    <s v="21:41"/>
  </r>
  <r>
    <s v="San Francisco"/>
    <s v="SFO"/>
    <s v="NEW YORK, NY/NEWARK, NJ (K)"/>
    <s v="JFK"/>
    <x v="3"/>
    <s v="DLY"/>
    <s v="09:00:00"/>
    <s v="17:15:00"/>
    <n v="12"/>
    <s v="Nonstop"/>
    <m/>
    <m/>
    <m/>
    <m/>
    <m/>
    <m/>
    <s v="09:00"/>
    <s v="17:15"/>
  </r>
  <r>
    <s v="San Francisco"/>
    <s v="SFO"/>
    <s v="NEW YORK, NY/NEWARK, NJ (K)"/>
    <s v="JFK"/>
    <x v="3"/>
    <s v="DLY"/>
    <s v="12:00:00"/>
    <s v="20:15:00"/>
    <m/>
    <s v="Nonstop"/>
    <m/>
    <m/>
    <m/>
    <m/>
    <m/>
    <m/>
    <s v="12:00"/>
    <s v="20:15"/>
  </r>
  <r>
    <s v="San Francisco"/>
    <s v="SFO"/>
    <s v="SEATTLE/TACOMA, WA (Henry M. Jackson Int'l.)"/>
    <s v="SEA"/>
    <x v="62"/>
    <s v="35"/>
    <s v="15:00:00"/>
    <s v="16:50:00"/>
    <n v="122"/>
    <s v="Nonstop"/>
    <m/>
    <d v="2023-05-25T00:00:00"/>
    <m/>
    <m/>
    <m/>
    <m/>
    <s v="15:00"/>
    <s v="16:50"/>
  </r>
  <r>
    <s v="San Francisco"/>
    <s v="SFO"/>
    <s v="TOKYO* Nara"/>
    <s v="NRT"/>
    <x v="3"/>
    <s v="DLY"/>
    <s v="12:15:00"/>
    <s v="2:55 PM +1"/>
    <n v="11"/>
    <s v="Nonstop"/>
    <m/>
    <m/>
    <m/>
    <m/>
    <m/>
    <m/>
    <s v="12:15"/>
    <s v="14:55"/>
  </r>
  <r>
    <s v="Seattle"/>
    <s v="SEA"/>
    <s v="LONDON 0* Heathrow"/>
    <s v="LHR"/>
    <x v="62"/>
    <s v="35"/>
    <s v="18:30:00"/>
    <s v="11:30 AM +1"/>
    <n v="22"/>
    <s v="Nonstop"/>
    <m/>
    <d v="2023-05-25T00:00:00"/>
    <m/>
    <m/>
    <s v="Above Fit Dis After 25 May"/>
    <m/>
    <s v="18:30"/>
    <s v="11:30"/>
  </r>
  <r>
    <s v="Seattle"/>
    <s v="SEA"/>
    <s v="LONDON 0* Heathrow"/>
    <s v="LHR"/>
    <x v="35"/>
    <s v="34567"/>
    <s v="20:00:00"/>
    <s v="1:00 PM +1"/>
    <n v="22"/>
    <s v="Nonstop"/>
    <d v="2023-05-30T00:00:00"/>
    <m/>
    <m/>
    <m/>
    <s v="Above Fit Eff 30 May"/>
    <m/>
    <s v="20:00"/>
    <s v="13:00"/>
  </r>
  <r>
    <s v="Seattle"/>
    <s v="SEA"/>
    <s v="SAN FRANCISCO, CA"/>
    <s v="SFO"/>
    <x v="15"/>
    <s v="46"/>
    <s v="15:00:00"/>
    <s v="16:51:00"/>
    <n v="125"/>
    <s v="Nonstop"/>
    <m/>
    <d v="2023-05-26T00:00:00"/>
    <m/>
    <m/>
    <s v="Above Fit Dis After 26 May"/>
    <m/>
    <s v="15:00"/>
    <s v="16:51"/>
  </r>
  <r>
    <s v="Soul"/>
    <s v="ICN"/>
    <s v="OSAKA"/>
    <s v="ITM"/>
    <x v="19"/>
    <s v="4"/>
    <s v="11:30:00"/>
    <s v="12:55:00"/>
    <n v="830"/>
    <s v="Nonstop"/>
    <m/>
    <m/>
    <m/>
    <m/>
    <m/>
    <m/>
    <s v="11:30"/>
    <s v="12:55"/>
  </r>
  <r>
    <s v="Soul"/>
    <s v="ICN"/>
    <s v="TOKYO Narita"/>
    <s v="NRT"/>
    <x v="1"/>
    <s v="67"/>
    <s v="14:25:00"/>
    <s v="16:30:00"/>
    <n v="12"/>
    <s v="Nonstop"/>
    <m/>
    <m/>
    <m/>
    <m/>
    <m/>
    <m/>
    <s v="14:25"/>
    <s v="16:30"/>
  </r>
  <r>
    <s v="Soul"/>
    <s v="ICN"/>
    <s v="TOKYO Narita"/>
    <s v="NRT"/>
    <x v="63"/>
    <s v="13"/>
    <s v="14:55:00"/>
    <s v="16:55:00"/>
    <n v="800"/>
    <s v="Nonstop"/>
    <m/>
    <m/>
    <m/>
    <m/>
    <m/>
    <m/>
    <s v="14:55"/>
    <s v="16:55"/>
  </r>
  <r>
    <s v="Shanghai"/>
    <s v="SHA"/>
    <s v="TOKYO Narita"/>
    <s v="NRT"/>
    <x v="52"/>
    <s v="24"/>
    <s v="12:00:00"/>
    <s v="16:55:00"/>
    <n v="18"/>
    <s v="Nonstop"/>
    <m/>
    <m/>
    <m/>
    <m/>
    <m/>
    <m/>
    <s v="12:00"/>
    <s v="16:55"/>
  </r>
  <r>
    <s v="Singapore"/>
    <s v="SIN"/>
    <s v="HONG KONG"/>
    <s v="HKG"/>
    <x v="3"/>
    <s v="DLY"/>
    <s v="07:20:00"/>
    <s v="10:50:00"/>
    <n v="6"/>
    <s v="Nonstop"/>
    <m/>
    <m/>
    <m/>
    <m/>
    <m/>
    <m/>
    <s v="07:20"/>
    <s v="10:50"/>
  </r>
  <r>
    <s v="Stuttgart"/>
    <s v="STR"/>
    <s v="BERLIN"/>
    <s v="TXL"/>
    <x v="10"/>
    <s v="123456"/>
    <s v="08:45:00"/>
    <s v="09:55:00"/>
    <n v="660"/>
    <s v="Nonstop"/>
    <m/>
    <m/>
    <m/>
    <m/>
    <m/>
    <m/>
    <s v="08:45"/>
    <s v="09:55"/>
  </r>
  <r>
    <s v="Stuttgart"/>
    <s v="STR"/>
    <s v="BERLIN"/>
    <s v="TXL"/>
    <x v="11"/>
    <s v="7"/>
    <s v="09:35:00"/>
    <s v="10:45:00"/>
    <n v="662"/>
    <s v="Nonstop"/>
    <m/>
    <m/>
    <m/>
    <m/>
    <m/>
    <m/>
    <s v="09:35"/>
    <s v="10:45"/>
  </r>
  <r>
    <s v="Stuttgart"/>
    <s v="STR"/>
    <s v="BERLIN"/>
    <s v="TXL"/>
    <x v="64"/>
    <s v="2345"/>
    <s v="12:30:00"/>
    <s v="13:40:00"/>
    <n v="92"/>
    <s v="Nonstop"/>
    <m/>
    <m/>
    <m/>
    <m/>
    <m/>
    <m/>
    <s v="12:30"/>
    <s v="13:40"/>
  </r>
  <r>
    <s v="Stuttgart"/>
    <s v="STR"/>
    <s v="BERLIN"/>
    <s v="TXL"/>
    <x v="10"/>
    <s v="123456"/>
    <s v="13:50:00"/>
    <s v="15:00:00"/>
    <n v="664"/>
    <s v="Nonstop"/>
    <m/>
    <m/>
    <m/>
    <m/>
    <m/>
    <m/>
    <s v="13:50"/>
    <s v="15:00"/>
  </r>
  <r>
    <s v="Stuttgart"/>
    <s v="STR"/>
    <s v="BERLIN"/>
    <s v="TXL"/>
    <x v="11"/>
    <s v="7"/>
    <s v="15:45:00"/>
    <s v="16:55:00"/>
    <n v="666"/>
    <s v="Nonstop"/>
    <m/>
    <m/>
    <m/>
    <m/>
    <m/>
    <m/>
    <s v="15:45"/>
    <s v="16:55"/>
  </r>
  <r>
    <s v="Stuttgart"/>
    <s v="STR"/>
    <s v="BERLIN"/>
    <s v="TXL"/>
    <x v="3"/>
    <s v="DLY"/>
    <s v="19:55:00"/>
    <s v="21:05:00"/>
    <n v="668"/>
    <s v="Nonstop"/>
    <m/>
    <m/>
    <m/>
    <m/>
    <s v="Ops 25 Min. Later On Sa"/>
    <m/>
    <s v="19:55"/>
    <s v="21:05"/>
  </r>
  <r>
    <s v="Stuttgart"/>
    <s v="STR"/>
    <s v="BRUSSELS"/>
    <s v="BRU"/>
    <x v="3"/>
    <s v="DLY"/>
    <s v="07:55:00"/>
    <s v="08:50:00"/>
    <n v="107"/>
    <s v="Nonstop"/>
    <m/>
    <m/>
    <m/>
    <m/>
    <m/>
    <m/>
    <s v="07:55"/>
    <s v="08:50"/>
  </r>
  <r>
    <s v="Stuttgart"/>
    <s v="STR"/>
    <s v="AUCKLAND"/>
    <s v="AKL"/>
    <x v="2"/>
    <s v="146"/>
    <s v="13:30:00"/>
    <s v="18:20:00"/>
    <n v="812"/>
    <s v="Nonstop"/>
    <m/>
    <m/>
    <m/>
    <m/>
    <m/>
    <m/>
    <s v="13:30"/>
    <s v="18:20"/>
  </r>
  <r>
    <s v="Sydney"/>
    <s v="SYD"/>
    <s v="HONOLULU, HI"/>
    <s v="HNL"/>
    <x v="18"/>
    <s v="2"/>
    <s v="16:45:00"/>
    <s v="06:00:00"/>
    <n v="812"/>
    <s v="Nonstop"/>
    <m/>
    <m/>
    <m/>
    <m/>
    <m/>
    <m/>
    <s v="16:45"/>
    <s v="06:00"/>
  </r>
  <r>
    <s v="Sydney"/>
    <s v="SYD"/>
    <s v="LOS ANGELES, CA"/>
    <s v="LAX"/>
    <x v="16"/>
    <s v="357"/>
    <s v="15:00:00"/>
    <s v="11:25:00"/>
    <n v="816"/>
    <s v="Nonstop"/>
    <m/>
    <m/>
    <m/>
    <m/>
    <m/>
    <m/>
    <s v="15:00"/>
    <s v="11:25"/>
  </r>
  <r>
    <s v="Sydney"/>
    <s v="SYD"/>
    <s v="MELBOURNE-Tullamarine"/>
    <s v="MEL"/>
    <x v="16"/>
    <s v="357"/>
    <s v="07:20:00"/>
    <s v="08:40:00"/>
    <n v="815"/>
    <s v="Nonstop"/>
    <m/>
    <m/>
    <m/>
    <m/>
    <s v="No Local Traffic On Above Flight"/>
    <m/>
    <s v="07:20"/>
    <s v="08:40"/>
  </r>
  <r>
    <s v="Sydney"/>
    <s v="SYD"/>
    <s v="MELBOURNE-Tullamarine"/>
    <s v="MEL"/>
    <x v="18"/>
    <s v="2"/>
    <s v="08:20:00"/>
    <s v="09:40:00"/>
    <n v="811"/>
    <s v="Nonstop"/>
    <m/>
    <m/>
    <m/>
    <m/>
    <s v="No Local Traffic On Above Flight"/>
    <m/>
    <s v="08:20"/>
    <s v="09:40"/>
  </r>
  <r>
    <s v="Syracuse"/>
    <s v="SYR"/>
    <s v="NEW YORK, NY/NEWARK, NJ (K)"/>
    <s v="JFK"/>
    <x v="11"/>
    <s v="7"/>
    <s v="07:00:00"/>
    <s v="08:00:00"/>
    <n v="929"/>
    <s v="Nonstop"/>
    <m/>
    <m/>
    <m/>
    <m/>
    <m/>
    <m/>
    <s v="07:00"/>
    <s v="08:00"/>
  </r>
  <r>
    <s v="Syracuse"/>
    <s v="SYR"/>
    <s v="NEW YORK, NY/NEWARK, NJ (K)"/>
    <s v="JFK"/>
    <x v="10"/>
    <s v="123456"/>
    <s v="07:35:00"/>
    <s v="08:30:00"/>
    <n v="931"/>
    <s v="Nonstop"/>
    <m/>
    <m/>
    <m/>
    <m/>
    <m/>
    <m/>
    <s v="07:35"/>
    <s v="08:30"/>
  </r>
  <r>
    <s v="Syracuse"/>
    <s v="SYR"/>
    <s v="NEW YORK, NY/NEWARK, NJ (K)"/>
    <s v="JFK"/>
    <x v="3"/>
    <s v="DLY"/>
    <s v="13:50:00"/>
    <s v="14:45:00"/>
    <n v="933"/>
    <s v="Nonstop"/>
    <m/>
    <m/>
    <m/>
    <m/>
    <m/>
    <m/>
    <s v="13:50"/>
    <s v="14:45"/>
  </r>
  <r>
    <s v="Syracuse"/>
    <s v="SYR"/>
    <s v="NEW YORK, NY/NEWARK, NJ (K)"/>
    <s v="JFK"/>
    <x v="3"/>
    <s v="DLY"/>
    <s v="16:55:00"/>
    <s v="17:55:00"/>
    <n v="935"/>
    <s v="Nonstop"/>
    <m/>
    <m/>
    <m/>
    <m/>
    <m/>
    <m/>
    <s v="16:55"/>
    <s v="17:55"/>
  </r>
  <r>
    <s v="Syracuse"/>
    <s v="SYR"/>
    <s v="NEW YORK, NY/NEWARK, NJ (K)"/>
    <s v="JFK"/>
    <x v="3"/>
    <s v="DLY"/>
    <s v="20:10:00"/>
    <s v="21:00:00"/>
    <n v="937"/>
    <s v="Nonstop"/>
    <m/>
    <m/>
    <m/>
    <m/>
    <m/>
    <m/>
    <s v="20:10"/>
    <s v="21:00"/>
  </r>
  <r>
    <s v="Taipei"/>
    <s v="TPE"/>
    <s v="TOKYO Narita"/>
    <s v="NRT"/>
    <x v="7"/>
    <s v="257"/>
    <s v="12:55:00"/>
    <s v="16:55:00"/>
    <n v="800"/>
    <s v="Nonstop"/>
    <m/>
    <m/>
    <m/>
    <m/>
    <m/>
    <m/>
    <s v="12:55"/>
    <s v="16:55"/>
  </r>
  <r>
    <s v="Tampa"/>
    <s v="TPA"/>
    <s v="FORT MYERS, FL"/>
    <s v="RSW"/>
    <x v="3"/>
    <s v="DLY"/>
    <s v="22:00:00"/>
    <s v="22:35:00"/>
    <n v="511"/>
    <s v="Nonstop"/>
    <m/>
    <m/>
    <m/>
    <m/>
    <m/>
    <m/>
    <s v="22:00"/>
    <s v="22:35"/>
  </r>
  <r>
    <s v="Tampa"/>
    <s v="TPA"/>
    <s v="MEXICO CITY"/>
    <s v="MEX"/>
    <x v="35"/>
    <s v="34567"/>
    <s v="21:00:00"/>
    <s v="22:00:00"/>
    <n v="352"/>
    <s v="Nonstop"/>
    <d v="2023-06-15T00:00:00"/>
    <d v="2023-09-08T00:00:00"/>
    <m/>
    <m/>
    <s v="Above At Eff 15 Jun thru 8 Sep"/>
    <m/>
    <s v="21:00"/>
    <s v="22:00"/>
  </r>
  <r>
    <s v="Tampa"/>
    <s v="TPA"/>
    <s v="MIAMI, FL"/>
    <s v="MIA"/>
    <x v="3"/>
    <s v="DLY"/>
    <s v="07:00:00"/>
    <s v="07:45:00"/>
    <n v="327"/>
    <s v="Nonstop"/>
    <m/>
    <m/>
    <m/>
    <m/>
    <m/>
    <m/>
    <s v="07:00"/>
    <s v="07:45"/>
  </r>
  <r>
    <s v="Tampa"/>
    <s v="TPA"/>
    <s v="MIAMI, FL"/>
    <s v="MIA"/>
    <x v="3"/>
    <s v="DLY"/>
    <s v="08:00:00"/>
    <s v="08:45:00"/>
    <n v="329"/>
    <s v="Nonstop"/>
    <m/>
    <m/>
    <m/>
    <m/>
    <m/>
    <m/>
    <s v="08:00"/>
    <s v="08:45"/>
  </r>
  <r>
    <s v="Tampa"/>
    <s v="TPA"/>
    <s v="MIAMI, FL"/>
    <s v="MIA"/>
    <x v="3"/>
    <s v="DLY"/>
    <s v="09:00:00"/>
    <s v="09:45:00"/>
    <n v="331"/>
    <s v="Nonstop"/>
    <m/>
    <m/>
    <m/>
    <m/>
    <m/>
    <m/>
    <s v="09:00"/>
    <s v="09:45"/>
  </r>
  <r>
    <s v="Tampa"/>
    <s v="TPA"/>
    <s v="MIAMI, FL"/>
    <s v="MIA"/>
    <x v="3"/>
    <s v="DLY"/>
    <s v="10:00:00"/>
    <s v="10:45:00"/>
    <n v="333"/>
    <s v="Nonstop"/>
    <m/>
    <m/>
    <m/>
    <m/>
    <m/>
    <m/>
    <s v="10:00"/>
    <s v="10:45"/>
  </r>
  <r>
    <s v="Tampa"/>
    <s v="TPA"/>
    <s v="MIAMI, FL"/>
    <s v="MIA"/>
    <x v="3"/>
    <s v="DLY"/>
    <s v="11:00:00"/>
    <s v="11:45:00"/>
    <n v="463"/>
    <s v="Nonstop"/>
    <m/>
    <m/>
    <m/>
    <m/>
    <m/>
    <m/>
    <s v="11:00"/>
    <s v="11:45"/>
  </r>
  <r>
    <s v="Tampa"/>
    <s v="TPA"/>
    <s v="MIAMI, FL"/>
    <s v="MIA"/>
    <x v="3"/>
    <s v="DLY"/>
    <s v="12:00:00"/>
    <s v="12:45:00"/>
    <n v="337"/>
    <s v="Nonstop"/>
    <m/>
    <m/>
    <m/>
    <m/>
    <m/>
    <m/>
    <s v="12:00"/>
    <s v="12:45"/>
  </r>
  <r>
    <s v="Tampa"/>
    <s v="TPA"/>
    <s v="MIAMI, FL"/>
    <s v="MIA"/>
    <x v="3"/>
    <s v="DLY"/>
    <s v="13:00:00"/>
    <s v="13:45:00"/>
    <n v="339"/>
    <s v="Nonstop"/>
    <m/>
    <m/>
    <m/>
    <m/>
    <m/>
    <m/>
    <s v="13:00"/>
    <s v="13:45"/>
  </r>
  <r>
    <s v="Tampa"/>
    <s v="TPA"/>
    <s v="MIAMI, FL"/>
    <s v="MIA"/>
    <x v="3"/>
    <s v="DLY"/>
    <s v="14:00:00"/>
    <s v="14:45:00"/>
    <n v="341"/>
    <s v="Nonstop"/>
    <m/>
    <m/>
    <m/>
    <m/>
    <m/>
    <m/>
    <s v="14:00"/>
    <s v="14:45"/>
  </r>
  <r>
    <s v="Tampa"/>
    <s v="TPA"/>
    <s v="MIAMI, FL"/>
    <s v="MIA"/>
    <x v="3"/>
    <s v="DLY"/>
    <s v="15:00:00"/>
    <s v="15:45:00"/>
    <n v="343"/>
    <s v="Nonstop"/>
    <m/>
    <m/>
    <m/>
    <m/>
    <m/>
    <m/>
    <s v="15:00"/>
    <s v="15:45"/>
  </r>
  <r>
    <s v="Tampa"/>
    <s v="TPA"/>
    <s v="MIAMI, FL"/>
    <s v="MIA"/>
    <x v="3"/>
    <s v="DLY"/>
    <s v="16:00:00"/>
    <s v="16:45:00"/>
    <n v="345"/>
    <s v="Nonstop"/>
    <m/>
    <m/>
    <m/>
    <m/>
    <m/>
    <m/>
    <s v="16:00"/>
    <s v="16:45"/>
  </r>
  <r>
    <s v="Tampa"/>
    <s v="TPA"/>
    <s v="MIAMI, FL"/>
    <s v="MIA"/>
    <x v="3"/>
    <s v="DLY"/>
    <s v="17:00:00"/>
    <s v="17:45:00"/>
    <n v="347"/>
    <s v="Nonstop"/>
    <m/>
    <m/>
    <m/>
    <m/>
    <m/>
    <m/>
    <s v="17:00"/>
    <s v="17:45"/>
  </r>
  <r>
    <s v="Tampa"/>
    <s v="TPA"/>
    <s v="MIAMI, FL"/>
    <s v="MIA"/>
    <x v="3"/>
    <s v="DLY"/>
    <s v="18:00:00"/>
    <s v="18:45:00"/>
    <n v="349"/>
    <s v="Nonstop"/>
    <m/>
    <m/>
    <m/>
    <m/>
    <m/>
    <m/>
    <s v="18:00"/>
    <s v="18:45"/>
  </r>
  <r>
    <s v="Tampa"/>
    <s v="TPA"/>
    <s v="MIAMI, FL"/>
    <s v="MIA"/>
    <x v="3"/>
    <s v="DLY"/>
    <s v="19:00:00"/>
    <s v="19:45:00"/>
    <n v="351"/>
    <s v="Nonstop"/>
    <m/>
    <m/>
    <m/>
    <m/>
    <m/>
    <m/>
    <s v="19:00"/>
    <s v="19:45"/>
  </r>
  <r>
    <s v="Tampa"/>
    <s v="TPA"/>
    <s v="MIAMI, FL"/>
    <s v="MIA"/>
    <x v="3"/>
    <s v="DLY"/>
    <s v="20:00:00"/>
    <s v="20:45:00"/>
    <n v="353"/>
    <s v="Nonstop"/>
    <m/>
    <m/>
    <m/>
    <m/>
    <m/>
    <m/>
    <s v="20:00"/>
    <s v="20:45"/>
  </r>
  <r>
    <s v="Tampa"/>
    <s v="TPA"/>
    <s v="NEW YORK, NY/NEWARK, NJ (K)"/>
    <s v="JFK"/>
    <x v="3"/>
    <s v="DLY"/>
    <s v="15:05:00"/>
    <s v="17:42:00"/>
    <n v="518"/>
    <s v="Nonstop"/>
    <m/>
    <m/>
    <m/>
    <m/>
    <m/>
    <m/>
    <s v="15:05"/>
    <s v="17:42"/>
  </r>
  <r>
    <s v="Tampa"/>
    <s v="TPA"/>
    <s v="WASHINGTON, DC (D-Dulles)"/>
    <s v="IAD"/>
    <x v="3"/>
    <s v="DLY"/>
    <s v="18:15:00"/>
    <s v="20:35:00"/>
    <n v="106"/>
    <s v="Nonstop"/>
    <m/>
    <m/>
    <m/>
    <m/>
    <m/>
    <m/>
    <s v="18:15"/>
    <s v="20:35"/>
  </r>
  <r>
    <s v="Tokyo"/>
    <s v="NRT"/>
    <s v="BEIJING (PEKING)"/>
    <s v="PEK"/>
    <x v="24"/>
    <s v="14"/>
    <s v="16:30:00"/>
    <s v="19:45:00"/>
    <n v="17"/>
    <s v="Nonstop"/>
    <m/>
    <m/>
    <m/>
    <m/>
    <m/>
    <m/>
    <s v="16:30"/>
    <s v="19:45"/>
  </r>
  <r>
    <s v="Tokyo"/>
    <s v="NRT"/>
    <s v="HONG KONG"/>
    <s v="HKG"/>
    <x v="3"/>
    <s v="DLY"/>
    <s v="16:15:00"/>
    <s v="19:35:00"/>
    <n v="21"/>
    <s v="Nonstop"/>
    <m/>
    <m/>
    <m/>
    <m/>
    <m/>
    <m/>
    <s v="16:15"/>
    <s v="19:35"/>
  </r>
  <r>
    <s v="Tokyo"/>
    <s v="NRT"/>
    <s v="HONOLULU, HI"/>
    <s v="HNL"/>
    <x v="3"/>
    <s v="DLY"/>
    <s v="21:00:00"/>
    <s v="09:00:00"/>
    <n v="830"/>
    <s v="Nonstop"/>
    <m/>
    <m/>
    <m/>
    <m/>
    <m/>
    <m/>
    <s v="21:00"/>
    <s v="09:00"/>
  </r>
  <r>
    <s v="Tokyo"/>
    <s v="NRT"/>
    <s v="LOS ANGELES, CA"/>
    <s v="LAX"/>
    <x v="3"/>
    <s v="DLY"/>
    <s v="18:15:00"/>
    <s v="12:00:00"/>
    <n v="22"/>
    <s v="Nonstop"/>
    <m/>
    <m/>
    <m/>
    <m/>
    <m/>
    <m/>
    <s v="18:15"/>
    <s v="12:00"/>
  </r>
  <r>
    <s v="Tokyo"/>
    <s v="NRT"/>
    <s v="MANILA"/>
    <s v="MNL"/>
    <x v="65"/>
    <s v="247"/>
    <s v="16:15:00"/>
    <s v="19:20:00"/>
    <n v="11"/>
    <s v="Nonstop"/>
    <m/>
    <m/>
    <m/>
    <m/>
    <m/>
    <m/>
    <s v="16:15"/>
    <s v="19:20"/>
  </r>
  <r>
    <s v="Tokyo"/>
    <s v="NRT"/>
    <s v="NEW YORK, NY/NEWARK, NJ (K)"/>
    <s v="JFK"/>
    <x v="26"/>
    <s v="57"/>
    <s v="16:00:00"/>
    <s v="15:30:00"/>
    <s v="It"/>
    <s v="Nonstop"/>
    <d v="2023-06-15T00:00:00"/>
    <d v="2023-09-08T00:00:00"/>
    <m/>
    <m/>
    <s v="Above Fit Eff 15 Jun thru 8 Sep"/>
    <m/>
    <s v="16:00"/>
    <s v="15:30"/>
  </r>
  <r>
    <s v="Tokyo"/>
    <s v="NRT"/>
    <s v="NEW YORK, NY/NEWARK, NJ (K)"/>
    <s v="JFK"/>
    <x v="3"/>
    <s v="DLY"/>
    <s v="18:30:00"/>
    <s v="18:00:00"/>
    <n v="800"/>
    <s v="Nonstop"/>
    <m/>
    <m/>
    <m/>
    <m/>
    <m/>
    <m/>
    <s v="18:30"/>
    <s v="18:00"/>
  </r>
  <r>
    <s v="Tokyo"/>
    <s v="NRT"/>
    <s v="OSAKA"/>
    <s v="ITM"/>
    <x v="29"/>
    <s v="1"/>
    <s v="16:15:00"/>
    <s v="17:30:00"/>
    <n v="831"/>
    <s v="Nonstop"/>
    <m/>
    <m/>
    <m/>
    <m/>
    <s v="No Local Traffic On Above Flight"/>
    <m/>
    <s v="16:15"/>
    <s v="17:30"/>
  </r>
  <r>
    <s v="Tokyo"/>
    <s v="NRT"/>
    <s v="OSAKA"/>
    <s v="ITM"/>
    <x v="66"/>
    <s v="234"/>
    <s v="16:45:00"/>
    <s v="18:00:00"/>
    <n v="831"/>
    <s v="Nonstop"/>
    <m/>
    <m/>
    <m/>
    <m/>
    <s v="No Local Traffic On Above Flight"/>
    <m/>
    <s v="16:45"/>
    <s v="18:00"/>
  </r>
  <r>
    <s v="Tokyo"/>
    <s v="NRT"/>
    <s v="OSAKA"/>
    <s v="ITM"/>
    <x v="11"/>
    <s v="7"/>
    <s v="17:00:00"/>
    <s v="18:15:00"/>
    <n v="801"/>
    <s v="Nonstop"/>
    <m/>
    <m/>
    <m/>
    <m/>
    <s v="No Local Traffic On Above Flight"/>
    <m/>
    <s v="17:00"/>
    <s v="18:15"/>
  </r>
  <r>
    <s v="Tokyo"/>
    <s v="NRT"/>
    <s v="OSAKA"/>
    <s v="ITM"/>
    <x v="8"/>
    <s v="5"/>
    <s v="18:00:00"/>
    <s v="19:15:00"/>
    <n v="831"/>
    <s v="Nonstop"/>
    <m/>
    <m/>
    <m/>
    <m/>
    <m/>
    <m/>
    <s v="18:00"/>
    <s v="19:15"/>
  </r>
  <r>
    <s v="Tokyo"/>
    <s v="NRT"/>
    <s v="SAN FRANCISCO, CA"/>
    <s v="SFO"/>
    <x v="3"/>
    <s v="DLY"/>
    <s v="17:55:00"/>
    <s v="11:00:00"/>
    <n v="12"/>
    <s v="Nonstop"/>
    <m/>
    <m/>
    <m/>
    <m/>
    <m/>
    <m/>
    <s v="17:55"/>
    <s v="11:00"/>
  </r>
  <r>
    <s v="Tokyo"/>
    <s v="NRT"/>
    <s v="SEOUL"/>
    <s v="ICN"/>
    <x v="58"/>
    <s v="56"/>
    <s v="16:15:00"/>
    <s v="18:35:00"/>
    <n v="11"/>
    <s v="Nonstop"/>
    <m/>
    <m/>
    <m/>
    <m/>
    <m/>
    <m/>
    <s v="16:15"/>
    <s v="18:35"/>
  </r>
  <r>
    <s v="Tokyo"/>
    <s v="NRT"/>
    <s v="SEOUL"/>
    <s v="ICN"/>
    <x v="67"/>
    <s v="27"/>
    <s v="16:30:00"/>
    <s v="18:50:00"/>
    <n v="15"/>
    <s v="Nonstop"/>
    <m/>
    <m/>
    <m/>
    <m/>
    <s v="Above Fit Ops As 801 On Tu"/>
    <m/>
    <s v="16:30"/>
    <s v="18:50"/>
  </r>
  <r>
    <s v="Tokyo"/>
    <s v="NRT"/>
    <s v="SHANGHAI"/>
    <s v="SHA"/>
    <x v="32"/>
    <s v="3"/>
    <s v="16:30:00"/>
    <s v="18:45:00"/>
    <n v="17"/>
    <s v="Nonstop"/>
    <m/>
    <m/>
    <m/>
    <m/>
    <m/>
    <m/>
    <s v="16:30"/>
    <s v="18:45"/>
  </r>
  <r>
    <s v="Tokyo"/>
    <s v="NRT"/>
    <s v="TAIPEI"/>
    <s v="TPE"/>
    <x v="20"/>
    <s v="136"/>
    <s v="16:30:00"/>
    <s v="18:45:00"/>
    <n v="801"/>
    <s v="Nonstop"/>
    <m/>
    <m/>
    <m/>
    <m/>
    <m/>
    <m/>
    <s v="16:30"/>
    <s v="18:45"/>
  </r>
  <r>
    <s v="Utica, NY"/>
    <s v="RME"/>
    <s v="NEW YORK, NY/NEWARK, NJ (K)"/>
    <s v="JFK"/>
    <x v="11"/>
    <s v="7"/>
    <s v="21:00:00"/>
    <s v="21:50:00"/>
    <n v="957"/>
    <s v="Nonstop"/>
    <m/>
    <m/>
    <m/>
    <m/>
    <m/>
    <m/>
    <s v="21:00"/>
    <s v="21:50"/>
  </r>
  <r>
    <s v="DC (D)"/>
    <s v="IAD"/>
    <s v="CHARLOTTE, NC"/>
    <s v="CLT"/>
    <x v="3"/>
    <s v="DLY"/>
    <s v="19:20:00"/>
    <s v="20:39:00"/>
    <n v="551"/>
    <s v="Nonstop"/>
    <m/>
    <m/>
    <m/>
    <m/>
    <m/>
    <m/>
    <s v="19:20"/>
    <s v="20:39"/>
  </r>
  <r>
    <s v="DC (D) "/>
    <s v="IAD"/>
    <s v="LONDON Heathrow"/>
    <s v="LHR"/>
    <x v="3"/>
    <s v="DLY"/>
    <s v="21:00:00"/>
    <s v="09:05:00"/>
    <n v="106"/>
    <s v="Nonstop"/>
    <m/>
    <m/>
    <m/>
    <m/>
    <m/>
    <m/>
    <s v="21:00"/>
    <s v="09:05"/>
  </r>
  <r>
    <s v="DC (N)"/>
    <s v="DCA"/>
    <s v="NEW YORK, NY/NEWARK, NJ (K)"/>
    <s v="JFK"/>
    <x v="3"/>
    <s v="DLY"/>
    <s v="07:55:00"/>
    <s v="08:58:00"/>
    <n v="100"/>
    <s v="Nonstop"/>
    <m/>
    <m/>
    <m/>
    <m/>
    <m/>
    <m/>
    <s v="07:55"/>
    <s v="08:58"/>
  </r>
  <r>
    <s v="DC (N)"/>
    <s v="DCA"/>
    <s v="NEW YORK, NY/NEWARK, NJ (K)"/>
    <s v="JFK"/>
    <x v="3"/>
    <s v="DLY"/>
    <s v="10:10:00"/>
    <s v="11:10:00"/>
    <n v="801"/>
    <s v="Nonstop"/>
    <m/>
    <m/>
    <m/>
    <m/>
    <m/>
    <m/>
    <s v="10:10"/>
    <s v="11:10"/>
  </r>
  <r>
    <s v="DC (N)"/>
    <s v="DCA"/>
    <s v="NEW YORK, NY/NEWARK, NJ (K)"/>
    <s v="JFK"/>
    <x v="3"/>
    <s v="DLY"/>
    <s v="13:15:00"/>
    <s v="14:15:00"/>
    <n v="217"/>
    <s v="Nonstop"/>
    <m/>
    <m/>
    <m/>
    <m/>
    <m/>
    <m/>
    <s v="13:15"/>
    <s v="14:15"/>
  </r>
  <r>
    <s v="DC (D)"/>
    <s v="IAD"/>
    <s v="NEW YORK, NY/NEWARK, NJ (K)"/>
    <s v="JFK"/>
    <x v="3"/>
    <s v="DLY"/>
    <s v="14:05:00"/>
    <s v="15:25:00"/>
    <n v="550"/>
    <s v="Nonstop"/>
    <m/>
    <m/>
    <m/>
    <m/>
    <m/>
    <m/>
    <s v="14:05"/>
    <s v="15:25"/>
  </r>
  <r>
    <s v="DC (N)"/>
    <s v="DCA"/>
    <s v="NEW YORK, NY/NEWARK, NJ (K)"/>
    <s v="JFK"/>
    <x v="3"/>
    <s v="DLY"/>
    <s v="15:55:00"/>
    <s v="17:05:00"/>
    <n v="110"/>
    <s v="Nonstop"/>
    <m/>
    <m/>
    <m/>
    <m/>
    <m/>
    <m/>
    <s v="15:55"/>
    <s v="17:05"/>
  </r>
  <r>
    <s v="DC (N)"/>
    <s v="DCA"/>
    <s v="NEW YORK, NY/NEWARK, NJ (K)"/>
    <s v="JFK"/>
    <x v="68"/>
    <s v="347"/>
    <s v="17:20:00"/>
    <s v="18:30:00"/>
    <n v="180"/>
    <s v="Nonstop"/>
    <m/>
    <m/>
    <d v="2023-06-03T00:00:00"/>
    <m/>
    <s v="Above Fit Eff 3 June"/>
    <m/>
    <s v="17:20"/>
    <s v="18:30"/>
  </r>
  <r>
    <s v="DC (N)"/>
    <s v="DCA"/>
    <s v="NEW YORK, NY/NEWARK, NJ (K)"/>
    <s v="JFK"/>
    <x v="57"/>
    <s v="37"/>
    <s v="17:20:00"/>
    <s v="18:30:00"/>
    <n v="180"/>
    <s v="Nonstop"/>
    <m/>
    <d v="2023-05-30T00:00:00"/>
    <m/>
    <m/>
    <s v="Above Fit Dis After 30 May"/>
    <m/>
    <s v="17:20"/>
    <s v="18:30"/>
  </r>
  <r>
    <s v="DC (N)"/>
    <s v="DCA"/>
    <s v="NEW YORK, NY/NEWARK, NJ (K)"/>
    <s v="JFK"/>
    <x v="3"/>
    <s v="DLY"/>
    <s v="17:20:00"/>
    <s v="18:30:00"/>
    <n v="594"/>
    <s v="Nonstop"/>
    <m/>
    <m/>
    <m/>
    <m/>
    <m/>
    <m/>
    <s v="17:20"/>
    <s v="18:30"/>
  </r>
  <r>
    <s v="DC (N)"/>
    <s v="DCA"/>
    <s v="NEW YORK, NY/NEWARK, NJ (K)"/>
    <s v="JFK"/>
    <x v="3"/>
    <s v="DLY"/>
    <s v="19:00:00"/>
    <s v="20:10:00"/>
    <n v="64"/>
    <s v="Nonstop"/>
    <m/>
    <m/>
    <m/>
    <m/>
    <m/>
    <m/>
    <s v="19:00"/>
    <s v="20:10"/>
  </r>
  <r>
    <s v="DC (N)"/>
    <s v="DCA"/>
    <s v="ORLANDO, FL"/>
    <s v="MCO"/>
    <x v="3"/>
    <s v="DLY"/>
    <s v="09:30:00"/>
    <s v="11:32:00"/>
    <n v="541"/>
    <s v="Nonstop"/>
    <m/>
    <m/>
    <m/>
    <m/>
    <m/>
    <m/>
    <s v="09:30"/>
    <s v="11:32"/>
  </r>
  <r>
    <s v="DC (N)"/>
    <s v="DCA"/>
    <s v="WEST PALM BEACH, FL"/>
    <s v="PBI"/>
    <x v="3"/>
    <s v="DLY"/>
    <s v="10:00:00"/>
    <s v="12:11:00"/>
    <n v="597"/>
    <s v="Nonstop"/>
    <m/>
    <m/>
    <m/>
    <m/>
    <m/>
    <m/>
    <s v="10:00"/>
    <s v="12:11"/>
  </r>
  <r>
    <s v="West Palm Beach"/>
    <s v="PBI"/>
    <s v="NEW YORK, NY/NEWARK, NJ (L)"/>
    <s v="LGA"/>
    <x v="3"/>
    <s v="DLY"/>
    <s v="10:00:00"/>
    <s v="13:23:00"/>
    <n v="272"/>
    <s v="Nonstop"/>
    <m/>
    <m/>
    <m/>
    <m/>
    <m/>
    <m/>
    <s v="10:00"/>
    <s v="13:23"/>
  </r>
  <r>
    <s v="West Palm Beach"/>
    <s v="PBI"/>
    <s v="NEW YORK, NY/NEWARK, NJ (K)"/>
    <s v="JFK"/>
    <x v="3"/>
    <s v="DLY"/>
    <s v="12:00:00"/>
    <s v="14:34:00"/>
    <n v="236"/>
    <s v="Nonstop"/>
    <d v="2023-06-01T00:00:00"/>
    <m/>
    <m/>
    <m/>
    <s v="Above Fit Eff 1 Jun"/>
    <m/>
    <s v="12:00"/>
    <s v="14:34"/>
  </r>
  <r>
    <s v="West Palm Beach"/>
    <s v="PBI"/>
    <s v="NEW YORK, NY/NEWARK, NJ (E)"/>
    <s v="EWR"/>
    <x v="3"/>
    <s v="DLY"/>
    <s v="12:00:00"/>
    <s v="14:37:00"/>
    <n v="266"/>
    <s v="Nonstop"/>
    <m/>
    <d v="2023-05-31T00:00:00"/>
    <m/>
    <m/>
    <s v="Above Fit Dis After 31 May"/>
    <m/>
    <s v="12:00"/>
    <s v="14:37"/>
  </r>
  <r>
    <s v="West Palm Beach"/>
    <s v="PBI"/>
    <s v="NEW YORK, NY/NEWARK, NJ (K)"/>
    <s v="JFK"/>
    <x v="3"/>
    <s v="DLY"/>
    <s v="13:00:00"/>
    <s v="17:05:00"/>
    <n v="110"/>
    <n v="1"/>
    <m/>
    <m/>
    <m/>
    <m/>
    <m/>
    <m/>
    <s v="13:00"/>
    <s v="17:05"/>
  </r>
  <r>
    <s v="West Palm Beach"/>
    <s v="PBI"/>
    <s v="NEW YORK, NY/NEWARK, NJ (K)"/>
    <s v="JFK"/>
    <x v="3"/>
    <s v="DLY"/>
    <s v="15:50:00"/>
    <s v="19:34:00"/>
    <n v="506"/>
    <n v="1"/>
    <m/>
    <m/>
    <m/>
    <m/>
    <m/>
    <m/>
    <s v="15:50"/>
    <s v="19:34"/>
  </r>
  <r>
    <s v="West Palm Beach"/>
    <s v="PBI"/>
    <s v="NEW YORK, NY/NEWARK, NJ (E)"/>
    <s v="EWR"/>
    <x v="3"/>
    <s v="DLY"/>
    <s v="17:00:00"/>
    <s v="19:37:00"/>
    <n v="266"/>
    <s v="Nonstop"/>
    <d v="2023-06-01T00:00:00"/>
    <m/>
    <m/>
    <m/>
    <s v="Above Fit Eff 1 Jun"/>
    <m/>
    <s v="17:00"/>
    <s v="19:37"/>
  </r>
  <r>
    <s v="West Palm Beach"/>
    <s v="PBI"/>
    <s v="NEW YORK, NY/NEWARK, NJ (K)"/>
    <s v="JFK"/>
    <x v="3"/>
    <s v="DLY"/>
    <s v="18:20:00"/>
    <s v="20:54:00"/>
    <n v="236"/>
    <s v="Nonstop"/>
    <m/>
    <d v="2023-05-31T00:00:00"/>
    <m/>
    <m/>
    <s v="Above Fit Dis After 31 May"/>
    <m/>
    <s v="18:20"/>
    <s v="20:54"/>
  </r>
  <r>
    <s v="West Palm Beach"/>
    <s v="PBI"/>
    <s v="ORLANDO, FL"/>
    <s v="MCO"/>
    <x v="3"/>
    <s v="DLY"/>
    <s v="15:50:00"/>
    <s v="16:35:00"/>
    <n v="506"/>
    <s v="Nonstop"/>
    <m/>
    <m/>
    <m/>
    <m/>
    <m/>
    <m/>
    <s v="15:50"/>
    <s v="16:35"/>
  </r>
  <r>
    <s v="West Palm Beach"/>
    <s v="PBI"/>
    <s v="WASHINGTON, DC (N-National)"/>
    <s v="DCA"/>
    <x v="3"/>
    <s v="DLY"/>
    <s v="13:00:00"/>
    <s v="14:59:00"/>
    <n v="110"/>
    <s v="Nonstop"/>
    <m/>
    <m/>
    <m/>
    <m/>
    <m/>
    <m/>
    <s v="13:00"/>
    <s v="14:59"/>
  </r>
  <r>
    <s v="Zagreb"/>
    <s v="ZAG"/>
    <s v="MUNICH"/>
    <s v="MUN"/>
    <x v="69"/>
    <s v="2347"/>
    <s v="09:40:00"/>
    <s v="10:40:00"/>
    <n v="77"/>
    <s v="Nonstop"/>
    <m/>
    <m/>
    <m/>
    <m/>
    <m/>
    <m/>
    <s v="09:40"/>
    <s v="10:40"/>
  </r>
  <r>
    <s v="Zurich"/>
    <s v="ZUR"/>
    <s v="BERLIN"/>
    <s v="TXL"/>
    <x v="3"/>
    <s v="DLY"/>
    <s v="16:50:00"/>
    <s v="18:15:00"/>
    <n v="624"/>
    <s v="Nonstop"/>
    <m/>
    <m/>
    <m/>
    <m/>
    <m/>
    <m/>
    <s v="16:50"/>
    <s v="18:15"/>
  </r>
  <r>
    <s v="Zurich"/>
    <s v="ZRH"/>
    <s v="BUDAPEST"/>
    <s v="BUD"/>
    <x v="11"/>
    <s v="7"/>
    <s v="11:15:00"/>
    <s v="12:45:00"/>
    <n v="92"/>
    <s v="Nonstop"/>
    <m/>
    <m/>
    <m/>
    <m/>
    <m/>
    <m/>
    <s v="11:15"/>
    <s v="12:45"/>
  </r>
  <r>
    <s v="Zurich"/>
    <s v="ZRH"/>
    <s v="DUBROVNIK"/>
    <s v="DBV"/>
    <x v="31"/>
    <s v="16"/>
    <s v="11:15:00"/>
    <s v="12:55:00"/>
    <n v="92"/>
    <s v="Nonstop"/>
    <m/>
    <m/>
    <m/>
    <m/>
    <m/>
    <m/>
    <s v="11:15"/>
    <s v="12:55"/>
  </r>
  <r>
    <s v="Zurich"/>
    <s v="ZRH"/>
    <s v="GENEVA"/>
    <s v="GVA"/>
    <x v="3"/>
    <s v="DLY"/>
    <s v="11:05:00"/>
    <s v="11:50:00"/>
    <n v="90"/>
    <s v="Nonstop"/>
    <m/>
    <m/>
    <m/>
    <m/>
    <s v="No Local Traffic On Above Flight"/>
    <m/>
    <s v="11:05"/>
    <s v="11:50"/>
  </r>
  <r>
    <s v="Zurich"/>
    <s v="ZRH"/>
    <s v="NEW YORK, NY/NEWARK, NJ (K)"/>
    <s v="JFK"/>
    <x v="3"/>
    <s v="DLY"/>
    <s v="11:45:00"/>
    <s v="14:05:00"/>
    <n v="91"/>
    <s v="Nonstop"/>
    <m/>
    <m/>
    <m/>
    <m/>
    <m/>
    <m/>
    <s v="11:45"/>
    <s v="14:05"/>
  </r>
  <r>
    <s v="Zurich"/>
    <s v="ZRH"/>
    <s v="STUTTGART"/>
    <s v="STR"/>
    <x v="64"/>
    <s v="2345"/>
    <s v="11:15:00"/>
    <s v="12:00:00"/>
    <n v="92"/>
    <s v="Nonstop"/>
    <m/>
    <m/>
    <m/>
    <m/>
    <m/>
    <m/>
    <s v="11:15"/>
    <s v="12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C43DE6-6AA7-4E43-91FF-8F51B2FD73E1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4" firstHeaderRow="1" firstDataRow="1" firstDataCol="1"/>
  <pivotFields count="18">
    <pivotField showAll="0"/>
    <pivotField showAll="0"/>
    <pivotField showAll="0"/>
    <pivotField showAll="0"/>
    <pivotField axis="axisRow" dataField="1" showAll="0">
      <items count="71">
        <item x="46"/>
        <item x="43"/>
        <item x="61"/>
        <item x="3"/>
        <item x="55"/>
        <item x="50"/>
        <item x="13"/>
        <item x="23"/>
        <item x="35"/>
        <item x="9"/>
        <item x="0"/>
        <item x="56"/>
        <item x="10"/>
        <item x="59"/>
        <item x="6"/>
        <item x="60"/>
        <item x="8"/>
        <item x="58"/>
        <item x="26"/>
        <item x="29"/>
        <item x="45"/>
        <item x="44"/>
        <item x="53"/>
        <item x="39"/>
        <item x="54"/>
        <item x="31"/>
        <item x="34"/>
        <item x="24"/>
        <item x="2"/>
        <item x="33"/>
        <item x="37"/>
        <item x="63"/>
        <item x="38"/>
        <item x="20"/>
        <item x="17"/>
        <item x="12"/>
        <item x="1"/>
        <item x="11"/>
        <item x="19"/>
        <item x="49"/>
        <item x="42"/>
        <item x="15"/>
        <item x="22"/>
        <item x="18"/>
        <item x="14"/>
        <item x="30"/>
        <item x="7"/>
        <item x="4"/>
        <item x="67"/>
        <item x="52"/>
        <item x="41"/>
        <item x="65"/>
        <item x="25"/>
        <item x="5"/>
        <item x="27"/>
        <item x="64"/>
        <item x="66"/>
        <item x="69"/>
        <item x="32"/>
        <item x="51"/>
        <item x="48"/>
        <item x="47"/>
        <item x="62"/>
        <item x="36"/>
        <item x="16"/>
        <item x="28"/>
        <item x="57"/>
        <item x="21"/>
        <item x="68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Items count="1">
    <i/>
  </colItems>
  <dataFields count="1">
    <dataField name="Count of Day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CC95BA-EF5B-4810-8597-7D71F5AF6B5C}" name="Table1" displayName="Table1" ref="A1:R545" totalsRowShown="0" headerRowDxfId="2" headerRowBorderDxfId="1" tableBorderDxfId="0">
  <autoFilter ref="A1:R545" xr:uid="{5ACC95BA-EF5B-4810-8597-7D71F5AF6B5C}"/>
  <tableColumns count="18">
    <tableColumn id="1" xr3:uid="{15A1B1F4-2466-4563-A989-246978BFF076}" name="From"/>
    <tableColumn id="2" xr3:uid="{8A4F0D48-C19D-4B9E-8896-AED1FD1A80F1}" name="CodeFrom"/>
    <tableColumn id="3" xr3:uid="{58F10C66-9A7D-4B1D-9B6F-A9517F815EAD}" name="To"/>
    <tableColumn id="4" xr3:uid="{9192B87A-D5C4-4DB9-B5A9-48B5347865E3}" name="CodeTo"/>
    <tableColumn id="5" xr3:uid="{732E605C-DA88-4056-A5B6-B3BB4DDE310E}" name="Days"/>
    <tableColumn id="6" xr3:uid="{3C14D11B-8235-462C-B0BD-EA609C4A4AE0}" name="Column2">
      <calculatedColumnFormula>ConvertToOAG(E2)</calculatedColumnFormula>
    </tableColumn>
    <tableColumn id="7" xr3:uid="{555E9641-DA03-44D5-8C24-A5953845968D}" name="Leave"/>
    <tableColumn id="8" xr3:uid="{0798FB8C-2CE7-4D3C-957C-99F0B64DBE44}" name="Arrive"/>
    <tableColumn id="9" xr3:uid="{1303A01A-527F-444C-8526-CABD7012DAAB}" name="Flight"/>
    <tableColumn id="10" xr3:uid="{2A56906E-1608-474A-BA37-F14EDB7C31BA}" name="Stops"/>
    <tableColumn id="11" xr3:uid="{0E5800AC-7023-4FC8-9A63-185231A7F185}" name="Effective"/>
    <tableColumn id="12" xr3:uid="{0F7B43E3-34F6-4E30-9D3A-7F399B9B9449}" name="Discontinued"/>
    <tableColumn id="13" xr3:uid="{D1B47F8C-93BC-4FD3-A792-947957602375}" name="Suspension Start"/>
    <tableColumn id="14" xr3:uid="{0196C7AF-2EF5-488C-B7CD-2A83E409244F}" name="Suspension End"/>
    <tableColumn id="15" xr3:uid="{5FC5E3E3-EE75-41F7-8C92-6600E04A5762}" name="Notes"/>
    <tableColumn id="16" xr3:uid="{0BBE5FF2-07F3-4689-A14E-1A0A2FCF5A02}" name="Column1"/>
    <tableColumn id="17" xr3:uid="{0F68C254-1E5F-4EC1-9BC6-72DDEB00023A}" name="Leave_24hr"/>
    <tableColumn id="18" xr3:uid="{A745CD34-6AC4-4686-B979-DC573B1F21B3}" name="Arrive_24h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A5CEC-0C83-4376-9B0C-62C2E67177F4}">
  <sheetPr codeName="Sheet2"/>
  <dimension ref="A3:B74"/>
  <sheetViews>
    <sheetView workbookViewId="0">
      <selection activeCell="B22" sqref="B22"/>
    </sheetView>
  </sheetViews>
  <sheetFormatPr defaultRowHeight="15" x14ac:dyDescent="0.25"/>
  <cols>
    <col min="1" max="1" width="13.140625" bestFit="1" customWidth="1"/>
    <col min="2" max="2" width="13.28515625" bestFit="1" customWidth="1"/>
    <col min="3" max="70" width="16.28515625" bestFit="1" customWidth="1"/>
    <col min="71" max="71" width="11.28515625" bestFit="1" customWidth="1"/>
  </cols>
  <sheetData>
    <row r="3" spans="1:2" x14ac:dyDescent="0.25">
      <c r="A3" s="3" t="s">
        <v>1222</v>
      </c>
      <c r="B3" t="s">
        <v>1221</v>
      </c>
    </row>
    <row r="4" spans="1:2" x14ac:dyDescent="0.25">
      <c r="A4" s="4" t="s">
        <v>384</v>
      </c>
      <c r="B4">
        <v>1</v>
      </c>
    </row>
    <row r="5" spans="1:2" x14ac:dyDescent="0.25">
      <c r="A5" s="4" t="s">
        <v>381</v>
      </c>
      <c r="B5">
        <v>1</v>
      </c>
    </row>
    <row r="6" spans="1:2" x14ac:dyDescent="0.25">
      <c r="A6" s="4" t="s">
        <v>399</v>
      </c>
      <c r="B6">
        <v>1</v>
      </c>
    </row>
    <row r="7" spans="1:2" x14ac:dyDescent="0.25">
      <c r="A7" s="4" t="s">
        <v>341</v>
      </c>
      <c r="B7">
        <v>351</v>
      </c>
    </row>
    <row r="8" spans="1:2" x14ac:dyDescent="0.25">
      <c r="A8" s="4" t="s">
        <v>393</v>
      </c>
      <c r="B8">
        <v>8</v>
      </c>
    </row>
    <row r="9" spans="1:2" x14ac:dyDescent="0.25">
      <c r="A9" s="4" t="s">
        <v>388</v>
      </c>
      <c r="B9">
        <v>1</v>
      </c>
    </row>
    <row r="10" spans="1:2" x14ac:dyDescent="0.25">
      <c r="A10" s="4" t="s">
        <v>351</v>
      </c>
      <c r="B10">
        <v>1</v>
      </c>
    </row>
    <row r="11" spans="1:2" x14ac:dyDescent="0.25">
      <c r="A11" s="4" t="s">
        <v>361</v>
      </c>
      <c r="B11">
        <v>1</v>
      </c>
    </row>
    <row r="12" spans="1:2" x14ac:dyDescent="0.25">
      <c r="A12" s="4" t="s">
        <v>373</v>
      </c>
      <c r="B12">
        <v>3</v>
      </c>
    </row>
    <row r="13" spans="1:2" x14ac:dyDescent="0.25">
      <c r="A13" s="4" t="s">
        <v>347</v>
      </c>
      <c r="B13">
        <v>11</v>
      </c>
    </row>
    <row r="14" spans="1:2" x14ac:dyDescent="0.25">
      <c r="A14" s="4" t="s">
        <v>338</v>
      </c>
      <c r="B14">
        <v>10</v>
      </c>
    </row>
    <row r="15" spans="1:2" x14ac:dyDescent="0.25">
      <c r="A15" s="4" t="s">
        <v>394</v>
      </c>
      <c r="B15">
        <v>2</v>
      </c>
    </row>
    <row r="16" spans="1:2" x14ac:dyDescent="0.25">
      <c r="A16" s="4" t="s">
        <v>348</v>
      </c>
      <c r="B16">
        <v>8</v>
      </c>
    </row>
    <row r="17" spans="1:2" x14ac:dyDescent="0.25">
      <c r="A17" s="4" t="s">
        <v>397</v>
      </c>
      <c r="B17">
        <v>1</v>
      </c>
    </row>
    <row r="18" spans="1:2" x14ac:dyDescent="0.25">
      <c r="A18" s="4" t="s">
        <v>344</v>
      </c>
      <c r="B18">
        <v>3</v>
      </c>
    </row>
    <row r="19" spans="1:2" x14ac:dyDescent="0.25">
      <c r="A19" s="4" t="s">
        <v>398</v>
      </c>
      <c r="B19">
        <v>1</v>
      </c>
    </row>
    <row r="20" spans="1:2" x14ac:dyDescent="0.25">
      <c r="A20" s="4" t="s">
        <v>346</v>
      </c>
      <c r="B20">
        <v>3</v>
      </c>
    </row>
    <row r="21" spans="1:2" x14ac:dyDescent="0.25">
      <c r="A21" s="4" t="s">
        <v>396</v>
      </c>
      <c r="B21">
        <v>2</v>
      </c>
    </row>
    <row r="22" spans="1:2" x14ac:dyDescent="0.25">
      <c r="A22" s="4" t="s">
        <v>364</v>
      </c>
      <c r="B22">
        <v>4</v>
      </c>
    </row>
    <row r="23" spans="1:2" x14ac:dyDescent="0.25">
      <c r="A23" s="4" t="s">
        <v>367</v>
      </c>
      <c r="B23">
        <v>3</v>
      </c>
    </row>
    <row r="24" spans="1:2" x14ac:dyDescent="0.25">
      <c r="A24" s="4" t="s">
        <v>383</v>
      </c>
      <c r="B24">
        <v>1</v>
      </c>
    </row>
    <row r="25" spans="1:2" x14ac:dyDescent="0.25">
      <c r="A25" s="4" t="s">
        <v>382</v>
      </c>
      <c r="B25">
        <v>1</v>
      </c>
    </row>
    <row r="26" spans="1:2" x14ac:dyDescent="0.25">
      <c r="A26" s="4" t="s">
        <v>391</v>
      </c>
      <c r="B26">
        <v>1</v>
      </c>
    </row>
    <row r="27" spans="1:2" x14ac:dyDescent="0.25">
      <c r="A27" s="4" t="s">
        <v>377</v>
      </c>
      <c r="B27">
        <v>1</v>
      </c>
    </row>
    <row r="28" spans="1:2" x14ac:dyDescent="0.25">
      <c r="A28" s="4" t="s">
        <v>392</v>
      </c>
      <c r="B28">
        <v>1</v>
      </c>
    </row>
    <row r="29" spans="1:2" x14ac:dyDescent="0.25">
      <c r="A29" s="4" t="s">
        <v>369</v>
      </c>
      <c r="B29">
        <v>2</v>
      </c>
    </row>
    <row r="30" spans="1:2" x14ac:dyDescent="0.25">
      <c r="A30" s="4" t="s">
        <v>372</v>
      </c>
      <c r="B30">
        <v>1</v>
      </c>
    </row>
    <row r="31" spans="1:2" x14ac:dyDescent="0.25">
      <c r="A31" s="4" t="s">
        <v>362</v>
      </c>
      <c r="B31">
        <v>3</v>
      </c>
    </row>
    <row r="32" spans="1:2" x14ac:dyDescent="0.25">
      <c r="A32" s="4" t="s">
        <v>340</v>
      </c>
      <c r="B32">
        <v>9</v>
      </c>
    </row>
    <row r="33" spans="1:2" x14ac:dyDescent="0.25">
      <c r="A33" s="4" t="s">
        <v>371</v>
      </c>
      <c r="B33">
        <v>1</v>
      </c>
    </row>
    <row r="34" spans="1:2" x14ac:dyDescent="0.25">
      <c r="A34" s="4" t="s">
        <v>375</v>
      </c>
      <c r="B34">
        <v>1</v>
      </c>
    </row>
    <row r="35" spans="1:2" x14ac:dyDescent="0.25">
      <c r="A35" s="4" t="s">
        <v>401</v>
      </c>
      <c r="B35">
        <v>1</v>
      </c>
    </row>
    <row r="36" spans="1:2" x14ac:dyDescent="0.25">
      <c r="A36" s="4" t="s">
        <v>376</v>
      </c>
      <c r="B36">
        <v>2</v>
      </c>
    </row>
    <row r="37" spans="1:2" x14ac:dyDescent="0.25">
      <c r="A37" s="4" t="s">
        <v>358</v>
      </c>
      <c r="B37">
        <v>3</v>
      </c>
    </row>
    <row r="38" spans="1:2" x14ac:dyDescent="0.25">
      <c r="A38" s="4" t="s">
        <v>355</v>
      </c>
      <c r="B38">
        <v>3</v>
      </c>
    </row>
    <row r="39" spans="1:2" x14ac:dyDescent="0.25">
      <c r="A39" s="4" t="s">
        <v>350</v>
      </c>
      <c r="B39">
        <v>3</v>
      </c>
    </row>
    <row r="40" spans="1:2" x14ac:dyDescent="0.25">
      <c r="A40" s="4" t="s">
        <v>339</v>
      </c>
      <c r="B40">
        <v>15</v>
      </c>
    </row>
    <row r="41" spans="1:2" x14ac:dyDescent="0.25">
      <c r="A41" s="4" t="s">
        <v>349</v>
      </c>
      <c r="B41">
        <v>11</v>
      </c>
    </row>
    <row r="42" spans="1:2" x14ac:dyDescent="0.25">
      <c r="A42" s="4" t="s">
        <v>357</v>
      </c>
      <c r="B42">
        <v>2</v>
      </c>
    </row>
    <row r="43" spans="1:2" x14ac:dyDescent="0.25">
      <c r="A43" s="4" t="s">
        <v>387</v>
      </c>
      <c r="B43">
        <v>1</v>
      </c>
    </row>
    <row r="44" spans="1:2" x14ac:dyDescent="0.25">
      <c r="A44" s="4" t="s">
        <v>380</v>
      </c>
      <c r="B44">
        <v>1</v>
      </c>
    </row>
    <row r="45" spans="1:2" x14ac:dyDescent="0.25">
      <c r="A45" s="4" t="s">
        <v>353</v>
      </c>
      <c r="B45">
        <v>4</v>
      </c>
    </row>
    <row r="46" spans="1:2" x14ac:dyDescent="0.25">
      <c r="A46" s="4" t="s">
        <v>360</v>
      </c>
      <c r="B46">
        <v>2</v>
      </c>
    </row>
    <row r="47" spans="1:2" x14ac:dyDescent="0.25">
      <c r="A47" s="4" t="s">
        <v>356</v>
      </c>
      <c r="B47">
        <v>6</v>
      </c>
    </row>
    <row r="48" spans="1:2" x14ac:dyDescent="0.25">
      <c r="A48" s="4" t="s">
        <v>352</v>
      </c>
      <c r="B48">
        <v>3</v>
      </c>
    </row>
    <row r="49" spans="1:2" x14ac:dyDescent="0.25">
      <c r="A49" s="4" t="s">
        <v>368</v>
      </c>
      <c r="B49">
        <v>1</v>
      </c>
    </row>
    <row r="50" spans="1:2" x14ac:dyDescent="0.25">
      <c r="A50" s="4" t="s">
        <v>345</v>
      </c>
      <c r="B50">
        <v>4</v>
      </c>
    </row>
    <row r="51" spans="1:2" x14ac:dyDescent="0.25">
      <c r="A51" s="4" t="s">
        <v>342</v>
      </c>
      <c r="B51">
        <v>4</v>
      </c>
    </row>
    <row r="52" spans="1:2" x14ac:dyDescent="0.25">
      <c r="A52" s="4" t="s">
        <v>405</v>
      </c>
      <c r="B52">
        <v>1</v>
      </c>
    </row>
    <row r="53" spans="1:2" x14ac:dyDescent="0.25">
      <c r="A53" s="4" t="s">
        <v>390</v>
      </c>
      <c r="B53">
        <v>2</v>
      </c>
    </row>
    <row r="54" spans="1:2" x14ac:dyDescent="0.25">
      <c r="A54" s="4" t="s">
        <v>379</v>
      </c>
      <c r="B54">
        <v>1</v>
      </c>
    </row>
    <row r="55" spans="1:2" x14ac:dyDescent="0.25">
      <c r="A55" s="4" t="s">
        <v>403</v>
      </c>
      <c r="B55">
        <v>1</v>
      </c>
    </row>
    <row r="56" spans="1:2" x14ac:dyDescent="0.25">
      <c r="A56" s="4" t="s">
        <v>363</v>
      </c>
      <c r="B56">
        <v>1</v>
      </c>
    </row>
    <row r="57" spans="1:2" x14ac:dyDescent="0.25">
      <c r="A57" s="4" t="s">
        <v>343</v>
      </c>
      <c r="B57">
        <v>4</v>
      </c>
    </row>
    <row r="58" spans="1:2" x14ac:dyDescent="0.25">
      <c r="A58" s="4" t="s">
        <v>365</v>
      </c>
      <c r="B58">
        <v>1</v>
      </c>
    </row>
    <row r="59" spans="1:2" x14ac:dyDescent="0.25">
      <c r="A59" s="4" t="s">
        <v>402</v>
      </c>
      <c r="B59">
        <v>2</v>
      </c>
    </row>
    <row r="60" spans="1:2" x14ac:dyDescent="0.25">
      <c r="A60" s="4" t="s">
        <v>404</v>
      </c>
      <c r="B60">
        <v>1</v>
      </c>
    </row>
    <row r="61" spans="1:2" x14ac:dyDescent="0.25">
      <c r="A61" s="4" t="s">
        <v>407</v>
      </c>
      <c r="B61">
        <v>1</v>
      </c>
    </row>
    <row r="62" spans="1:2" x14ac:dyDescent="0.25">
      <c r="A62" s="4" t="s">
        <v>370</v>
      </c>
      <c r="B62">
        <v>5</v>
      </c>
    </row>
    <row r="63" spans="1:2" x14ac:dyDescent="0.25">
      <c r="A63" s="4" t="s">
        <v>389</v>
      </c>
      <c r="B63">
        <v>1</v>
      </c>
    </row>
    <row r="64" spans="1:2" x14ac:dyDescent="0.25">
      <c r="A64" s="4" t="s">
        <v>386</v>
      </c>
      <c r="B64">
        <v>1</v>
      </c>
    </row>
    <row r="65" spans="1:2" x14ac:dyDescent="0.25">
      <c r="A65" s="4" t="s">
        <v>385</v>
      </c>
      <c r="B65">
        <v>1</v>
      </c>
    </row>
    <row r="66" spans="1:2" x14ac:dyDescent="0.25">
      <c r="A66" s="4" t="s">
        <v>400</v>
      </c>
      <c r="B66">
        <v>3</v>
      </c>
    </row>
    <row r="67" spans="1:2" x14ac:dyDescent="0.25">
      <c r="A67" s="4" t="s">
        <v>374</v>
      </c>
      <c r="B67">
        <v>1</v>
      </c>
    </row>
    <row r="68" spans="1:2" x14ac:dyDescent="0.25">
      <c r="A68" s="4" t="s">
        <v>354</v>
      </c>
      <c r="B68">
        <v>4</v>
      </c>
    </row>
    <row r="69" spans="1:2" x14ac:dyDescent="0.25">
      <c r="A69" s="4" t="s">
        <v>366</v>
      </c>
      <c r="B69">
        <v>1</v>
      </c>
    </row>
    <row r="70" spans="1:2" x14ac:dyDescent="0.25">
      <c r="A70" s="4" t="s">
        <v>395</v>
      </c>
      <c r="B70">
        <v>2</v>
      </c>
    </row>
    <row r="71" spans="1:2" x14ac:dyDescent="0.25">
      <c r="A71" s="4" t="s">
        <v>359</v>
      </c>
      <c r="B71">
        <v>4</v>
      </c>
    </row>
    <row r="72" spans="1:2" x14ac:dyDescent="0.25">
      <c r="A72" s="4" t="s">
        <v>406</v>
      </c>
      <c r="B72">
        <v>1</v>
      </c>
    </row>
    <row r="73" spans="1:2" x14ac:dyDescent="0.25">
      <c r="A73" s="4" t="s">
        <v>378</v>
      </c>
      <c r="B73">
        <v>1</v>
      </c>
    </row>
    <row r="74" spans="1:2" x14ac:dyDescent="0.25">
      <c r="A74" s="4" t="s">
        <v>1220</v>
      </c>
      <c r="B74">
        <v>544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545"/>
  <sheetViews>
    <sheetView tabSelected="1" topLeftCell="A2" workbookViewId="0">
      <selection activeCell="A2" sqref="A1:XFD1048576"/>
    </sheetView>
  </sheetViews>
  <sheetFormatPr defaultRowHeight="15" x14ac:dyDescent="0.25"/>
  <cols>
    <col min="2" max="2" width="12.28515625" customWidth="1"/>
    <col min="4" max="4" width="9.85546875" customWidth="1"/>
    <col min="6" max="6" width="11" customWidth="1"/>
    <col min="11" max="11" width="11" customWidth="1"/>
    <col min="12" max="12" width="14.85546875" customWidth="1"/>
    <col min="13" max="13" width="17.85546875" customWidth="1"/>
    <col min="14" max="14" width="17" customWidth="1"/>
    <col min="16" max="16" width="11" customWidth="1"/>
    <col min="17" max="17" width="13.140625" customWidth="1"/>
    <col min="18" max="18" width="13.42578125" customWidth="1"/>
  </cols>
  <sheetData>
    <row r="1" spans="1:2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1219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</row>
    <row r="2" spans="1:21" x14ac:dyDescent="0.25">
      <c r="A2" t="s">
        <v>17</v>
      </c>
      <c r="B2" t="s">
        <v>111</v>
      </c>
      <c r="C2" t="s">
        <v>204</v>
      </c>
      <c r="D2" t="s">
        <v>168</v>
      </c>
      <c r="E2" t="s">
        <v>338</v>
      </c>
      <c r="F2" t="e">
        <f t="shared" ref="F2:F44" ca="1" si="0">ConvertToOAG(E2)</f>
        <v>#NAME?</v>
      </c>
      <c r="G2" t="s">
        <v>408</v>
      </c>
      <c r="H2" t="s">
        <v>462</v>
      </c>
      <c r="I2">
        <v>923</v>
      </c>
      <c r="J2" t="s">
        <v>932</v>
      </c>
      <c r="Q2" t="s">
        <v>971</v>
      </c>
      <c r="R2" t="s">
        <v>1025</v>
      </c>
    </row>
    <row r="3" spans="1:21" x14ac:dyDescent="0.25">
      <c r="A3" t="s">
        <v>17</v>
      </c>
      <c r="B3" t="s">
        <v>111</v>
      </c>
      <c r="C3" t="s">
        <v>204</v>
      </c>
      <c r="D3" t="s">
        <v>168</v>
      </c>
      <c r="E3" t="s">
        <v>339</v>
      </c>
      <c r="F3" t="e">
        <f t="shared" ca="1" si="0"/>
        <v>#NAME?</v>
      </c>
      <c r="G3" t="s">
        <v>409</v>
      </c>
      <c r="H3" t="s">
        <v>571</v>
      </c>
      <c r="I3">
        <v>923</v>
      </c>
      <c r="J3" t="s">
        <v>932</v>
      </c>
      <c r="Q3" t="s">
        <v>972</v>
      </c>
      <c r="R3" t="s">
        <v>1056</v>
      </c>
    </row>
    <row r="4" spans="1:21" x14ac:dyDescent="0.25">
      <c r="A4" t="s">
        <v>17</v>
      </c>
      <c r="B4" t="s">
        <v>111</v>
      </c>
      <c r="C4" t="s">
        <v>204</v>
      </c>
      <c r="D4" t="s">
        <v>168</v>
      </c>
      <c r="E4" t="s">
        <v>339</v>
      </c>
      <c r="F4" t="e">
        <f t="shared" ca="1" si="0"/>
        <v>#NAME?</v>
      </c>
      <c r="G4" t="s">
        <v>410</v>
      </c>
      <c r="H4" t="s">
        <v>473</v>
      </c>
      <c r="I4">
        <v>927</v>
      </c>
      <c r="J4" t="s">
        <v>932</v>
      </c>
      <c r="Q4" t="s">
        <v>973</v>
      </c>
      <c r="R4" t="s">
        <v>1036</v>
      </c>
    </row>
    <row r="5" spans="1:21" x14ac:dyDescent="0.25">
      <c r="A5" t="s">
        <v>17</v>
      </c>
      <c r="B5" t="s">
        <v>111</v>
      </c>
      <c r="C5" t="s">
        <v>204</v>
      </c>
      <c r="D5" t="s">
        <v>168</v>
      </c>
      <c r="E5" t="s">
        <v>338</v>
      </c>
      <c r="F5" t="e">
        <f t="shared" ca="1" si="0"/>
        <v>#NAME?</v>
      </c>
      <c r="G5" t="s">
        <v>411</v>
      </c>
      <c r="H5" t="s">
        <v>699</v>
      </c>
      <c r="I5">
        <v>921</v>
      </c>
      <c r="J5" t="s">
        <v>932</v>
      </c>
      <c r="Q5" t="s">
        <v>974</v>
      </c>
      <c r="R5" t="s">
        <v>1075</v>
      </c>
    </row>
    <row r="6" spans="1:21" x14ac:dyDescent="0.25">
      <c r="A6" t="s">
        <v>18</v>
      </c>
      <c r="B6" t="s">
        <v>112</v>
      </c>
      <c r="C6" t="s">
        <v>205</v>
      </c>
      <c r="D6" t="s">
        <v>178</v>
      </c>
      <c r="E6" t="s">
        <v>340</v>
      </c>
      <c r="F6" t="e">
        <f t="shared" ca="1" si="0"/>
        <v>#NAME?</v>
      </c>
      <c r="G6" t="s">
        <v>412</v>
      </c>
      <c r="H6" t="s">
        <v>700</v>
      </c>
      <c r="I6">
        <v>435</v>
      </c>
      <c r="J6" t="s">
        <v>932</v>
      </c>
      <c r="M6" t="e">
        <f>THhisWorkBook.Covert</f>
        <v>#NAME?</v>
      </c>
      <c r="Q6" t="s">
        <v>975</v>
      </c>
      <c r="R6" t="s">
        <v>1131</v>
      </c>
      <c r="U6" t="e">
        <f ca="1">ConvertToOAG("Daily")</f>
        <v>#NAME?</v>
      </c>
    </row>
    <row r="7" spans="1:21" x14ac:dyDescent="0.25">
      <c r="A7" t="s">
        <v>18</v>
      </c>
      <c r="B7" t="s">
        <v>112</v>
      </c>
      <c r="C7" t="s">
        <v>89</v>
      </c>
      <c r="D7" t="s">
        <v>183</v>
      </c>
      <c r="E7" t="s">
        <v>339</v>
      </c>
      <c r="F7" t="e">
        <f t="shared" ca="1" si="0"/>
        <v>#NAME?</v>
      </c>
      <c r="G7" t="s">
        <v>413</v>
      </c>
      <c r="H7" t="s">
        <v>701</v>
      </c>
      <c r="I7">
        <v>230</v>
      </c>
      <c r="J7" t="s">
        <v>932</v>
      </c>
      <c r="Q7" t="s">
        <v>976</v>
      </c>
      <c r="R7" t="s">
        <v>1076</v>
      </c>
    </row>
    <row r="8" spans="1:21" x14ac:dyDescent="0.25">
      <c r="A8" t="s">
        <v>19</v>
      </c>
      <c r="B8" t="s">
        <v>113</v>
      </c>
      <c r="C8" t="s">
        <v>66</v>
      </c>
      <c r="D8" t="s">
        <v>160</v>
      </c>
      <c r="E8" t="s">
        <v>341</v>
      </c>
      <c r="F8" t="e">
        <f t="shared" ca="1" si="0"/>
        <v>#NAME?</v>
      </c>
      <c r="G8" t="s">
        <v>414</v>
      </c>
      <c r="H8" t="s">
        <v>702</v>
      </c>
      <c r="I8">
        <v>990</v>
      </c>
      <c r="J8" t="s">
        <v>932</v>
      </c>
      <c r="Q8" t="s">
        <v>977</v>
      </c>
      <c r="R8" t="s">
        <v>1111</v>
      </c>
      <c r="U8" t="e">
        <f ca="1">ThisWorkbook.ConvertToOAG("MoTuThFr")</f>
        <v>#NAME?</v>
      </c>
    </row>
    <row r="9" spans="1:21" x14ac:dyDescent="0.25">
      <c r="A9" t="s">
        <v>19</v>
      </c>
      <c r="B9" t="s">
        <v>113</v>
      </c>
      <c r="C9" t="s">
        <v>66</v>
      </c>
      <c r="D9" t="s">
        <v>160</v>
      </c>
      <c r="E9" t="s">
        <v>341</v>
      </c>
      <c r="F9" t="e">
        <f t="shared" ca="1" si="0"/>
        <v>#NAME?</v>
      </c>
      <c r="G9" t="s">
        <v>415</v>
      </c>
      <c r="H9" t="s">
        <v>409</v>
      </c>
      <c r="I9">
        <v>994</v>
      </c>
      <c r="J9" t="s">
        <v>932</v>
      </c>
      <c r="Q9" t="s">
        <v>978</v>
      </c>
      <c r="R9" t="s">
        <v>972</v>
      </c>
    </row>
    <row r="10" spans="1:21" x14ac:dyDescent="0.25">
      <c r="A10" t="s">
        <v>19</v>
      </c>
      <c r="B10" t="s">
        <v>113</v>
      </c>
      <c r="C10" t="s">
        <v>66</v>
      </c>
      <c r="D10" t="s">
        <v>160</v>
      </c>
      <c r="E10" t="s">
        <v>341</v>
      </c>
      <c r="F10" t="e">
        <f t="shared" ca="1" si="0"/>
        <v>#NAME?</v>
      </c>
      <c r="G10" t="s">
        <v>416</v>
      </c>
      <c r="H10" t="s">
        <v>703</v>
      </c>
      <c r="I10">
        <v>998</v>
      </c>
      <c r="J10" t="s">
        <v>932</v>
      </c>
      <c r="Q10" t="s">
        <v>979</v>
      </c>
      <c r="R10" t="s">
        <v>1070</v>
      </c>
    </row>
    <row r="11" spans="1:21" x14ac:dyDescent="0.25">
      <c r="A11" t="s">
        <v>19</v>
      </c>
      <c r="B11" t="s">
        <v>113</v>
      </c>
      <c r="C11" t="s">
        <v>204</v>
      </c>
      <c r="D11" t="s">
        <v>168</v>
      </c>
      <c r="E11" t="s">
        <v>338</v>
      </c>
      <c r="F11" t="e">
        <f t="shared" ca="1" si="0"/>
        <v>#NAME?</v>
      </c>
      <c r="G11" t="s">
        <v>417</v>
      </c>
      <c r="H11" t="s">
        <v>702</v>
      </c>
      <c r="I11">
        <v>972</v>
      </c>
      <c r="J11" t="s">
        <v>932</v>
      </c>
      <c r="Q11" t="s">
        <v>980</v>
      </c>
      <c r="R11" t="s">
        <v>1111</v>
      </c>
      <c r="U11" t="e">
        <f ca="1">ThisWorkbook.ConvertToOAG("MoTuThFr")</f>
        <v>#NAME?</v>
      </c>
    </row>
    <row r="12" spans="1:21" x14ac:dyDescent="0.25">
      <c r="A12" t="s">
        <v>19</v>
      </c>
      <c r="B12" t="s">
        <v>113</v>
      </c>
      <c r="C12" t="s">
        <v>204</v>
      </c>
      <c r="D12" t="s">
        <v>168</v>
      </c>
      <c r="E12" t="s">
        <v>341</v>
      </c>
      <c r="F12" t="e">
        <f t="shared" ca="1" si="0"/>
        <v>#NAME?</v>
      </c>
      <c r="G12" t="s">
        <v>418</v>
      </c>
      <c r="H12" t="s">
        <v>704</v>
      </c>
      <c r="I12">
        <v>976</v>
      </c>
      <c r="J12" t="s">
        <v>932</v>
      </c>
      <c r="Q12" t="s">
        <v>981</v>
      </c>
      <c r="R12" t="s">
        <v>1132</v>
      </c>
    </row>
    <row r="13" spans="1:21" x14ac:dyDescent="0.25">
      <c r="A13" t="s">
        <v>19</v>
      </c>
      <c r="B13" t="s">
        <v>113</v>
      </c>
      <c r="C13" t="s">
        <v>204</v>
      </c>
      <c r="D13" t="s">
        <v>168</v>
      </c>
      <c r="E13" t="s">
        <v>338</v>
      </c>
      <c r="F13" t="e">
        <f t="shared" ca="1" si="0"/>
        <v>#NAME?</v>
      </c>
      <c r="G13" t="s">
        <v>419</v>
      </c>
      <c r="H13" t="s">
        <v>471</v>
      </c>
      <c r="I13">
        <v>974</v>
      </c>
      <c r="J13" t="s">
        <v>932</v>
      </c>
      <c r="Q13" t="s">
        <v>982</v>
      </c>
      <c r="R13" t="s">
        <v>1034</v>
      </c>
    </row>
    <row r="14" spans="1:21" x14ac:dyDescent="0.25">
      <c r="A14" t="s">
        <v>19</v>
      </c>
      <c r="B14" t="s">
        <v>113</v>
      </c>
      <c r="C14" t="s">
        <v>204</v>
      </c>
      <c r="D14" t="s">
        <v>168</v>
      </c>
      <c r="E14" t="s">
        <v>341</v>
      </c>
      <c r="F14" t="e">
        <f t="shared" ca="1" si="0"/>
        <v>#NAME?</v>
      </c>
      <c r="G14" t="s">
        <v>420</v>
      </c>
      <c r="H14" t="s">
        <v>705</v>
      </c>
      <c r="I14">
        <v>978</v>
      </c>
      <c r="J14" t="s">
        <v>932</v>
      </c>
      <c r="Q14" t="s">
        <v>983</v>
      </c>
      <c r="R14" t="s">
        <v>1084</v>
      </c>
      <c r="U14" t="e">
        <f ca="1">ThisWorkbook.ConvertToOAG("MoTuThFr")</f>
        <v>#NAME?</v>
      </c>
    </row>
    <row r="15" spans="1:21" x14ac:dyDescent="0.25">
      <c r="A15" t="s">
        <v>20</v>
      </c>
      <c r="B15" t="s">
        <v>114</v>
      </c>
      <c r="C15" t="s">
        <v>52</v>
      </c>
      <c r="D15" t="s">
        <v>147</v>
      </c>
      <c r="E15" t="s">
        <v>340</v>
      </c>
      <c r="F15" t="e">
        <f t="shared" ca="1" si="0"/>
        <v>#NAME?</v>
      </c>
      <c r="G15" t="s">
        <v>421</v>
      </c>
      <c r="H15" t="s">
        <v>706</v>
      </c>
      <c r="I15">
        <v>812</v>
      </c>
      <c r="J15" t="s">
        <v>932</v>
      </c>
      <c r="Q15" t="s">
        <v>984</v>
      </c>
      <c r="R15" t="s">
        <v>1133</v>
      </c>
    </row>
    <row r="16" spans="1:21" x14ac:dyDescent="0.25">
      <c r="A16" t="s">
        <v>20</v>
      </c>
      <c r="B16" t="s">
        <v>115</v>
      </c>
      <c r="C16" t="s">
        <v>206</v>
      </c>
      <c r="D16" t="s">
        <v>155</v>
      </c>
      <c r="E16" t="s">
        <v>342</v>
      </c>
      <c r="F16" t="e">
        <f t="shared" ca="1" si="0"/>
        <v>#NAME?</v>
      </c>
      <c r="G16" t="s">
        <v>422</v>
      </c>
      <c r="H16" t="s">
        <v>425</v>
      </c>
      <c r="I16">
        <v>816</v>
      </c>
      <c r="J16" t="s">
        <v>932</v>
      </c>
      <c r="Q16" t="s">
        <v>985</v>
      </c>
      <c r="R16" t="s">
        <v>988</v>
      </c>
    </row>
    <row r="17" spans="1:21" x14ac:dyDescent="0.25">
      <c r="A17" t="s">
        <v>20</v>
      </c>
      <c r="B17" t="s">
        <v>115</v>
      </c>
      <c r="C17" t="s">
        <v>207</v>
      </c>
      <c r="D17" t="s">
        <v>158</v>
      </c>
      <c r="E17" t="s">
        <v>342</v>
      </c>
      <c r="F17" t="e">
        <f t="shared" ca="1" si="0"/>
        <v>#NAME?</v>
      </c>
      <c r="G17" t="s">
        <v>423</v>
      </c>
      <c r="H17" t="s">
        <v>433</v>
      </c>
      <c r="I17">
        <v>816</v>
      </c>
      <c r="J17" t="s">
        <v>932</v>
      </c>
      <c r="Q17" t="s">
        <v>986</v>
      </c>
      <c r="R17" t="s">
        <v>996</v>
      </c>
      <c r="U17" t="e">
        <f ca="1">ThisWorkbook.convertooag()</f>
        <v>#NAME?</v>
      </c>
    </row>
    <row r="18" spans="1:21" x14ac:dyDescent="0.25">
      <c r="A18" t="s">
        <v>20</v>
      </c>
      <c r="B18" t="s">
        <v>115</v>
      </c>
      <c r="C18" t="s">
        <v>99</v>
      </c>
      <c r="D18" t="s">
        <v>192</v>
      </c>
      <c r="E18" t="s">
        <v>340</v>
      </c>
      <c r="F18" t="e">
        <f t="shared" ca="1" si="0"/>
        <v>#NAME?</v>
      </c>
      <c r="G18" t="s">
        <v>424</v>
      </c>
      <c r="H18" t="s">
        <v>434</v>
      </c>
      <c r="I18">
        <v>811</v>
      </c>
      <c r="J18" t="s">
        <v>932</v>
      </c>
      <c r="Q18" t="s">
        <v>987</v>
      </c>
      <c r="R18" t="s">
        <v>997</v>
      </c>
    </row>
    <row r="19" spans="1:21" x14ac:dyDescent="0.25">
      <c r="A19" t="s">
        <v>21</v>
      </c>
      <c r="B19" t="s">
        <v>116</v>
      </c>
      <c r="C19" t="s">
        <v>208</v>
      </c>
      <c r="D19" t="s">
        <v>132</v>
      </c>
      <c r="E19" t="s">
        <v>341</v>
      </c>
      <c r="F19" t="e">
        <f t="shared" ca="1" si="0"/>
        <v>#NAME?</v>
      </c>
      <c r="G19" t="s">
        <v>425</v>
      </c>
      <c r="H19" t="s">
        <v>707</v>
      </c>
      <c r="I19">
        <v>2</v>
      </c>
      <c r="J19" t="s">
        <v>932</v>
      </c>
      <c r="M19" t="e">
        <f ca="1">test2(E19)</f>
        <v>#NAME?</v>
      </c>
      <c r="Q19" t="s">
        <v>988</v>
      </c>
      <c r="R19" t="s">
        <v>1114</v>
      </c>
    </row>
    <row r="20" spans="1:21" x14ac:dyDescent="0.25">
      <c r="A20" t="s">
        <v>22</v>
      </c>
      <c r="B20" t="s">
        <v>117</v>
      </c>
      <c r="C20" t="s">
        <v>66</v>
      </c>
      <c r="D20" t="s">
        <v>160</v>
      </c>
      <c r="E20" t="s">
        <v>343</v>
      </c>
      <c r="F20" t="e">
        <f t="shared" ca="1" si="0"/>
        <v>#NAME?</v>
      </c>
      <c r="G20" t="s">
        <v>426</v>
      </c>
      <c r="H20" t="s">
        <v>708</v>
      </c>
      <c r="I20">
        <v>436</v>
      </c>
      <c r="J20" t="s">
        <v>932</v>
      </c>
      <c r="Q20" t="s">
        <v>989</v>
      </c>
      <c r="R20" t="s">
        <v>1134</v>
      </c>
    </row>
    <row r="21" spans="1:21" x14ac:dyDescent="0.25">
      <c r="A21" t="s">
        <v>22</v>
      </c>
      <c r="B21" t="s">
        <v>117</v>
      </c>
      <c r="C21" t="s">
        <v>209</v>
      </c>
      <c r="D21" t="s">
        <v>168</v>
      </c>
      <c r="E21" t="s">
        <v>341</v>
      </c>
      <c r="F21" t="e">
        <f t="shared" ca="1" si="0"/>
        <v>#NAME?</v>
      </c>
      <c r="G21" t="s">
        <v>427</v>
      </c>
      <c r="H21" t="s">
        <v>437</v>
      </c>
      <c r="I21">
        <v>220</v>
      </c>
      <c r="J21" t="s">
        <v>932</v>
      </c>
      <c r="Q21" t="s">
        <v>990</v>
      </c>
      <c r="R21" t="s">
        <v>1000</v>
      </c>
    </row>
    <row r="22" spans="1:21" x14ac:dyDescent="0.25">
      <c r="A22" t="s">
        <v>22</v>
      </c>
      <c r="B22" t="s">
        <v>117</v>
      </c>
      <c r="C22" t="s">
        <v>205</v>
      </c>
      <c r="D22" t="s">
        <v>178</v>
      </c>
      <c r="E22" t="s">
        <v>344</v>
      </c>
      <c r="F22" t="e">
        <f t="shared" ca="1" si="0"/>
        <v>#NAME?</v>
      </c>
      <c r="G22" t="s">
        <v>428</v>
      </c>
      <c r="H22" t="s">
        <v>438</v>
      </c>
      <c r="I22">
        <v>219</v>
      </c>
      <c r="J22" t="s">
        <v>932</v>
      </c>
      <c r="Q22" t="s">
        <v>991</v>
      </c>
      <c r="R22" t="s">
        <v>1001</v>
      </c>
    </row>
    <row r="23" spans="1:21" x14ac:dyDescent="0.25">
      <c r="A23" t="s">
        <v>22</v>
      </c>
      <c r="B23" t="s">
        <v>117</v>
      </c>
      <c r="C23" t="s">
        <v>205</v>
      </c>
      <c r="D23" t="s">
        <v>178</v>
      </c>
      <c r="E23" t="s">
        <v>345</v>
      </c>
      <c r="F23" t="e">
        <f t="shared" ca="1" si="0"/>
        <v>#NAME?</v>
      </c>
      <c r="G23" t="s">
        <v>429</v>
      </c>
      <c r="H23" t="s">
        <v>700</v>
      </c>
      <c r="I23">
        <v>435</v>
      </c>
      <c r="J23" t="s">
        <v>932</v>
      </c>
      <c r="Q23" t="s">
        <v>992</v>
      </c>
      <c r="R23" t="s">
        <v>1131</v>
      </c>
    </row>
    <row r="24" spans="1:21" x14ac:dyDescent="0.25">
      <c r="A24" t="s">
        <v>23</v>
      </c>
      <c r="B24" t="s">
        <v>118</v>
      </c>
      <c r="C24" t="s">
        <v>210</v>
      </c>
      <c r="D24" t="s">
        <v>196</v>
      </c>
      <c r="E24" t="s">
        <v>346</v>
      </c>
      <c r="F24" t="e">
        <f t="shared" ca="1" si="0"/>
        <v>#NAME?</v>
      </c>
      <c r="G24" t="s">
        <v>430</v>
      </c>
      <c r="H24" t="s">
        <v>475</v>
      </c>
      <c r="I24">
        <v>18</v>
      </c>
      <c r="J24" t="s">
        <v>932</v>
      </c>
      <c r="Q24" t="s">
        <v>993</v>
      </c>
      <c r="R24" t="s">
        <v>1038</v>
      </c>
    </row>
    <row r="25" spans="1:21" x14ac:dyDescent="0.25">
      <c r="A25" t="s">
        <v>24</v>
      </c>
      <c r="B25" t="s">
        <v>119</v>
      </c>
      <c r="C25" t="s">
        <v>45</v>
      </c>
      <c r="D25" t="s">
        <v>140</v>
      </c>
      <c r="E25" t="s">
        <v>341</v>
      </c>
      <c r="F25" t="e">
        <f t="shared" ca="1" si="0"/>
        <v>#NAME?</v>
      </c>
      <c r="G25" t="s">
        <v>431</v>
      </c>
      <c r="H25" t="s">
        <v>709</v>
      </c>
      <c r="I25">
        <v>631</v>
      </c>
      <c r="J25" t="s">
        <v>932</v>
      </c>
      <c r="Q25" t="s">
        <v>994</v>
      </c>
      <c r="R25" t="s">
        <v>1115</v>
      </c>
    </row>
    <row r="26" spans="1:21" x14ac:dyDescent="0.25">
      <c r="A26" t="s">
        <v>24</v>
      </c>
      <c r="B26" t="s">
        <v>119</v>
      </c>
      <c r="C26" t="s">
        <v>45</v>
      </c>
      <c r="D26" t="s">
        <v>140</v>
      </c>
      <c r="E26" t="s">
        <v>338</v>
      </c>
      <c r="F26" t="e">
        <f t="shared" ca="1" si="0"/>
        <v>#NAME?</v>
      </c>
      <c r="G26" t="s">
        <v>422</v>
      </c>
      <c r="H26" t="s">
        <v>464</v>
      </c>
      <c r="I26">
        <v>639</v>
      </c>
      <c r="J26" t="s">
        <v>932</v>
      </c>
      <c r="M26" s="1">
        <v>45128</v>
      </c>
      <c r="N26" s="1">
        <v>45168</v>
      </c>
      <c r="Q26" t="s">
        <v>985</v>
      </c>
      <c r="R26" t="s">
        <v>1027</v>
      </c>
    </row>
    <row r="27" spans="1:21" x14ac:dyDescent="0.25">
      <c r="A27" t="s">
        <v>24</v>
      </c>
      <c r="B27" t="s">
        <v>119</v>
      </c>
      <c r="C27" t="s">
        <v>45</v>
      </c>
      <c r="D27" t="s">
        <v>140</v>
      </c>
      <c r="E27" t="s">
        <v>341</v>
      </c>
      <c r="F27" t="e">
        <f t="shared" ca="1" si="0"/>
        <v>#NAME?</v>
      </c>
      <c r="G27" t="s">
        <v>432</v>
      </c>
      <c r="H27" t="s">
        <v>470</v>
      </c>
      <c r="I27">
        <v>633</v>
      </c>
      <c r="J27" t="s">
        <v>932</v>
      </c>
      <c r="Q27" t="s">
        <v>995</v>
      </c>
      <c r="R27" t="s">
        <v>1033</v>
      </c>
    </row>
    <row r="28" spans="1:21" x14ac:dyDescent="0.25">
      <c r="A28" t="s">
        <v>24</v>
      </c>
      <c r="B28" t="s">
        <v>119</v>
      </c>
      <c r="C28" t="s">
        <v>45</v>
      </c>
      <c r="D28" t="s">
        <v>140</v>
      </c>
      <c r="E28" t="s">
        <v>341</v>
      </c>
      <c r="F28" t="e">
        <f t="shared" ca="1" si="0"/>
        <v>#NAME?</v>
      </c>
      <c r="G28" t="s">
        <v>414</v>
      </c>
      <c r="H28" t="s">
        <v>710</v>
      </c>
      <c r="I28">
        <v>635</v>
      </c>
      <c r="J28" t="s">
        <v>932</v>
      </c>
      <c r="Q28" t="s">
        <v>977</v>
      </c>
      <c r="R28" t="s">
        <v>1069</v>
      </c>
    </row>
    <row r="29" spans="1:21" x14ac:dyDescent="0.25">
      <c r="A29" t="s">
        <v>24</v>
      </c>
      <c r="B29" t="s">
        <v>119</v>
      </c>
      <c r="C29" t="s">
        <v>45</v>
      </c>
      <c r="D29" t="s">
        <v>140</v>
      </c>
      <c r="E29" t="s">
        <v>341</v>
      </c>
      <c r="F29" t="e">
        <f t="shared" ca="1" si="0"/>
        <v>#NAME?</v>
      </c>
      <c r="G29" t="s">
        <v>433</v>
      </c>
      <c r="H29" t="s">
        <v>702</v>
      </c>
      <c r="I29">
        <v>637</v>
      </c>
      <c r="J29" t="s">
        <v>932</v>
      </c>
      <c r="Q29" t="s">
        <v>996</v>
      </c>
      <c r="R29" t="s">
        <v>1111</v>
      </c>
    </row>
    <row r="30" spans="1:21" x14ac:dyDescent="0.25">
      <c r="A30" t="s">
        <v>24</v>
      </c>
      <c r="B30" t="s">
        <v>119</v>
      </c>
      <c r="C30" t="s">
        <v>45</v>
      </c>
      <c r="D30" t="s">
        <v>140</v>
      </c>
      <c r="E30" t="s">
        <v>341</v>
      </c>
      <c r="F30" t="e">
        <f t="shared" ca="1" si="0"/>
        <v>#NAME?</v>
      </c>
      <c r="G30" t="s">
        <v>434</v>
      </c>
      <c r="H30" t="s">
        <v>711</v>
      </c>
      <c r="I30">
        <v>641</v>
      </c>
      <c r="J30" t="s">
        <v>932</v>
      </c>
      <c r="Q30" t="s">
        <v>997</v>
      </c>
      <c r="R30" t="s">
        <v>1128</v>
      </c>
    </row>
    <row r="31" spans="1:21" x14ac:dyDescent="0.25">
      <c r="A31" t="s">
        <v>24</v>
      </c>
      <c r="B31" t="s">
        <v>119</v>
      </c>
      <c r="C31" t="s">
        <v>45</v>
      </c>
      <c r="D31" t="s">
        <v>140</v>
      </c>
      <c r="E31" t="s">
        <v>341</v>
      </c>
      <c r="F31" t="e">
        <f t="shared" ca="1" si="0"/>
        <v>#NAME?</v>
      </c>
      <c r="G31" t="s">
        <v>435</v>
      </c>
      <c r="H31" t="s">
        <v>712</v>
      </c>
      <c r="I31">
        <v>643</v>
      </c>
      <c r="J31" t="s">
        <v>932</v>
      </c>
      <c r="Q31" t="s">
        <v>998</v>
      </c>
      <c r="R31" t="s">
        <v>1081</v>
      </c>
    </row>
    <row r="32" spans="1:21" x14ac:dyDescent="0.25">
      <c r="A32" t="s">
        <v>24</v>
      </c>
      <c r="B32" t="s">
        <v>119</v>
      </c>
      <c r="C32" t="s">
        <v>45</v>
      </c>
      <c r="D32" t="s">
        <v>140</v>
      </c>
      <c r="E32" t="s">
        <v>341</v>
      </c>
      <c r="F32" t="e">
        <f t="shared" ca="1" si="0"/>
        <v>#NAME?</v>
      </c>
      <c r="G32" t="s">
        <v>436</v>
      </c>
      <c r="H32" t="s">
        <v>437</v>
      </c>
      <c r="I32">
        <v>647</v>
      </c>
      <c r="J32" t="s">
        <v>932</v>
      </c>
      <c r="Q32" t="s">
        <v>999</v>
      </c>
      <c r="R32" t="s">
        <v>1000</v>
      </c>
    </row>
    <row r="33" spans="1:18" x14ac:dyDescent="0.25">
      <c r="A33" t="s">
        <v>24</v>
      </c>
      <c r="B33" t="s">
        <v>119</v>
      </c>
      <c r="C33" t="s">
        <v>45</v>
      </c>
      <c r="D33" t="s">
        <v>140</v>
      </c>
      <c r="E33" t="s">
        <v>347</v>
      </c>
      <c r="F33" t="e">
        <f t="shared" ca="1" si="0"/>
        <v>#NAME?</v>
      </c>
      <c r="G33" t="s">
        <v>437</v>
      </c>
      <c r="H33" t="s">
        <v>451</v>
      </c>
      <c r="I33">
        <v>649</v>
      </c>
      <c r="J33" t="s">
        <v>932</v>
      </c>
      <c r="M33" s="1">
        <v>45130</v>
      </c>
      <c r="N33" s="1">
        <v>45168</v>
      </c>
      <c r="Q33" t="s">
        <v>1000</v>
      </c>
      <c r="R33" t="s">
        <v>1014</v>
      </c>
    </row>
    <row r="34" spans="1:18" x14ac:dyDescent="0.25">
      <c r="A34" t="s">
        <v>24</v>
      </c>
      <c r="B34" t="s">
        <v>119</v>
      </c>
      <c r="C34" t="s">
        <v>45</v>
      </c>
      <c r="D34" t="s">
        <v>140</v>
      </c>
      <c r="E34" t="s">
        <v>341</v>
      </c>
      <c r="F34" t="e">
        <f t="shared" ca="1" si="0"/>
        <v>#NAME?</v>
      </c>
      <c r="G34" t="s">
        <v>428</v>
      </c>
      <c r="H34" t="s">
        <v>438</v>
      </c>
      <c r="I34">
        <v>651</v>
      </c>
      <c r="J34" t="s">
        <v>932</v>
      </c>
      <c r="Q34" t="s">
        <v>991</v>
      </c>
      <c r="R34" t="s">
        <v>1001</v>
      </c>
    </row>
    <row r="35" spans="1:18" x14ac:dyDescent="0.25">
      <c r="A35" t="s">
        <v>24</v>
      </c>
      <c r="B35" t="s">
        <v>119</v>
      </c>
      <c r="C35" t="s">
        <v>45</v>
      </c>
      <c r="D35" t="s">
        <v>140</v>
      </c>
      <c r="E35" t="s">
        <v>347</v>
      </c>
      <c r="F35" t="e">
        <f t="shared" ca="1" si="0"/>
        <v>#NAME?</v>
      </c>
      <c r="G35" t="s">
        <v>438</v>
      </c>
      <c r="H35" t="s">
        <v>439</v>
      </c>
      <c r="I35">
        <v>653</v>
      </c>
      <c r="J35" t="s">
        <v>932</v>
      </c>
      <c r="M35" s="1">
        <v>45130</v>
      </c>
      <c r="N35" s="1">
        <v>45168</v>
      </c>
      <c r="Q35" t="s">
        <v>1001</v>
      </c>
      <c r="R35" t="s">
        <v>1002</v>
      </c>
    </row>
    <row r="36" spans="1:18" x14ac:dyDescent="0.25">
      <c r="A36" t="s">
        <v>24</v>
      </c>
      <c r="B36" t="s">
        <v>119</v>
      </c>
      <c r="C36" t="s">
        <v>45</v>
      </c>
      <c r="D36" t="s">
        <v>140</v>
      </c>
      <c r="E36" t="s">
        <v>341</v>
      </c>
      <c r="F36" t="e">
        <f t="shared" ca="1" si="0"/>
        <v>#NAME?</v>
      </c>
      <c r="G36" t="s">
        <v>439</v>
      </c>
      <c r="H36" t="s">
        <v>703</v>
      </c>
      <c r="I36">
        <v>655</v>
      </c>
      <c r="J36" t="s">
        <v>932</v>
      </c>
      <c r="Q36" t="s">
        <v>1002</v>
      </c>
      <c r="R36" t="s">
        <v>1070</v>
      </c>
    </row>
    <row r="37" spans="1:18" x14ac:dyDescent="0.25">
      <c r="A37" t="s">
        <v>24</v>
      </c>
      <c r="B37" t="s">
        <v>119</v>
      </c>
      <c r="C37" t="s">
        <v>45</v>
      </c>
      <c r="D37" t="s">
        <v>140</v>
      </c>
      <c r="E37" t="s">
        <v>347</v>
      </c>
      <c r="F37" t="e">
        <f t="shared" ca="1" si="0"/>
        <v>#NAME?</v>
      </c>
      <c r="G37" t="s">
        <v>440</v>
      </c>
      <c r="H37" t="s">
        <v>453</v>
      </c>
      <c r="I37">
        <v>657</v>
      </c>
      <c r="J37" t="s">
        <v>932</v>
      </c>
      <c r="Q37" t="s">
        <v>1003</v>
      </c>
      <c r="R37" t="s">
        <v>1016</v>
      </c>
    </row>
    <row r="38" spans="1:18" x14ac:dyDescent="0.25">
      <c r="A38" t="s">
        <v>24</v>
      </c>
      <c r="B38" t="s">
        <v>119</v>
      </c>
      <c r="C38" t="s">
        <v>45</v>
      </c>
      <c r="D38" t="s">
        <v>140</v>
      </c>
      <c r="E38" t="s">
        <v>341</v>
      </c>
      <c r="F38" t="e">
        <f t="shared" ca="1" si="0"/>
        <v>#NAME?</v>
      </c>
      <c r="G38" t="s">
        <v>441</v>
      </c>
      <c r="H38" t="s">
        <v>713</v>
      </c>
      <c r="I38">
        <v>659</v>
      </c>
      <c r="J38" t="s">
        <v>932</v>
      </c>
      <c r="Q38" t="s">
        <v>1004</v>
      </c>
      <c r="R38" t="s">
        <v>1135</v>
      </c>
    </row>
    <row r="39" spans="1:18" x14ac:dyDescent="0.25">
      <c r="A39" t="s">
        <v>24</v>
      </c>
      <c r="B39" t="s">
        <v>119</v>
      </c>
      <c r="C39" t="s">
        <v>49</v>
      </c>
      <c r="D39" t="s">
        <v>144</v>
      </c>
      <c r="E39" t="s">
        <v>338</v>
      </c>
      <c r="F39" t="e">
        <f t="shared" ca="1" si="0"/>
        <v>#NAME?</v>
      </c>
      <c r="G39" t="s">
        <v>442</v>
      </c>
      <c r="H39" t="s">
        <v>714</v>
      </c>
      <c r="I39">
        <v>603</v>
      </c>
      <c r="J39" t="s">
        <v>932</v>
      </c>
      <c r="M39" s="1">
        <v>45128</v>
      </c>
      <c r="N39" s="1">
        <v>45168</v>
      </c>
      <c r="Q39" t="s">
        <v>1005</v>
      </c>
      <c r="R39" t="s">
        <v>1121</v>
      </c>
    </row>
    <row r="40" spans="1:18" x14ac:dyDescent="0.25">
      <c r="A40" t="s">
        <v>24</v>
      </c>
      <c r="B40" t="s">
        <v>119</v>
      </c>
      <c r="C40" t="s">
        <v>49</v>
      </c>
      <c r="D40" t="s">
        <v>144</v>
      </c>
      <c r="E40" t="s">
        <v>341</v>
      </c>
      <c r="F40" t="e">
        <f t="shared" ca="1" si="0"/>
        <v>#NAME?</v>
      </c>
      <c r="G40" t="s">
        <v>443</v>
      </c>
      <c r="H40" t="s">
        <v>715</v>
      </c>
      <c r="I40">
        <v>101</v>
      </c>
      <c r="J40" t="s">
        <v>932</v>
      </c>
      <c r="Q40" t="s">
        <v>1006</v>
      </c>
      <c r="R40" t="s">
        <v>1136</v>
      </c>
    </row>
    <row r="41" spans="1:18" x14ac:dyDescent="0.25">
      <c r="A41" t="s">
        <v>24</v>
      </c>
      <c r="B41" t="s">
        <v>119</v>
      </c>
      <c r="C41" t="s">
        <v>49</v>
      </c>
      <c r="D41" t="s">
        <v>144</v>
      </c>
      <c r="E41" t="s">
        <v>341</v>
      </c>
      <c r="F41" t="e">
        <f t="shared" ca="1" si="0"/>
        <v>#NAME?</v>
      </c>
      <c r="G41" t="s">
        <v>444</v>
      </c>
      <c r="H41" t="s">
        <v>476</v>
      </c>
      <c r="I41">
        <v>607</v>
      </c>
      <c r="J41" t="s">
        <v>932</v>
      </c>
      <c r="Q41" t="s">
        <v>1007</v>
      </c>
      <c r="R41" t="s">
        <v>1039</v>
      </c>
    </row>
    <row r="42" spans="1:18" x14ac:dyDescent="0.25">
      <c r="A42" t="s">
        <v>24</v>
      </c>
      <c r="B42" t="s">
        <v>119</v>
      </c>
      <c r="C42" t="s">
        <v>49</v>
      </c>
      <c r="D42" t="s">
        <v>144</v>
      </c>
      <c r="E42" t="s">
        <v>341</v>
      </c>
      <c r="F42" t="e">
        <f t="shared" ca="1" si="0"/>
        <v>#NAME?</v>
      </c>
      <c r="G42" t="s">
        <v>445</v>
      </c>
      <c r="H42" t="s">
        <v>569</v>
      </c>
      <c r="I42">
        <v>611</v>
      </c>
      <c r="J42" t="s">
        <v>932</v>
      </c>
      <c r="Q42" t="s">
        <v>1008</v>
      </c>
      <c r="R42" t="s">
        <v>1054</v>
      </c>
    </row>
    <row r="43" spans="1:18" x14ac:dyDescent="0.25">
      <c r="A43" t="s">
        <v>24</v>
      </c>
      <c r="B43" t="s">
        <v>119</v>
      </c>
      <c r="C43" t="s">
        <v>49</v>
      </c>
      <c r="D43" t="s">
        <v>144</v>
      </c>
      <c r="E43" t="s">
        <v>341</v>
      </c>
      <c r="F43" t="e">
        <f t="shared" ca="1" si="0"/>
        <v>#NAME?</v>
      </c>
      <c r="G43" t="s">
        <v>409</v>
      </c>
      <c r="H43" t="s">
        <v>571</v>
      </c>
      <c r="I43">
        <v>613</v>
      </c>
      <c r="J43" t="s">
        <v>932</v>
      </c>
      <c r="Q43" t="s">
        <v>972</v>
      </c>
      <c r="R43" t="s">
        <v>1056</v>
      </c>
    </row>
    <row r="44" spans="1:18" x14ac:dyDescent="0.25">
      <c r="A44" t="s">
        <v>24</v>
      </c>
      <c r="B44" t="s">
        <v>119</v>
      </c>
      <c r="C44" t="s">
        <v>49</v>
      </c>
      <c r="D44" t="s">
        <v>144</v>
      </c>
      <c r="E44" t="s">
        <v>341</v>
      </c>
      <c r="F44" t="e">
        <f t="shared" ca="1" si="0"/>
        <v>#NAME?</v>
      </c>
      <c r="G44" t="s">
        <v>446</v>
      </c>
      <c r="H44" t="s">
        <v>429</v>
      </c>
      <c r="I44">
        <v>615</v>
      </c>
      <c r="J44" t="s">
        <v>932</v>
      </c>
      <c r="Q44" t="s">
        <v>1009</v>
      </c>
      <c r="R44" t="s">
        <v>992</v>
      </c>
    </row>
    <row r="45" spans="1:18" x14ac:dyDescent="0.25">
      <c r="A45" t="s">
        <v>24</v>
      </c>
      <c r="B45" t="s">
        <v>119</v>
      </c>
      <c r="C45" t="s">
        <v>49</v>
      </c>
      <c r="D45" t="s">
        <v>144</v>
      </c>
      <c r="E45" t="s">
        <v>341</v>
      </c>
      <c r="F45" t="e">
        <f t="shared" ref="F45:F66" ca="1" si="1">ConvertToOAG(E45)</f>
        <v>#NAME?</v>
      </c>
      <c r="G45" t="s">
        <v>416</v>
      </c>
      <c r="H45" t="s">
        <v>716</v>
      </c>
      <c r="I45">
        <v>617</v>
      </c>
      <c r="J45" t="s">
        <v>932</v>
      </c>
      <c r="Q45" t="s">
        <v>979</v>
      </c>
      <c r="R45" t="s">
        <v>1103</v>
      </c>
    </row>
    <row r="46" spans="1:18" x14ac:dyDescent="0.25">
      <c r="A46" t="s">
        <v>24</v>
      </c>
      <c r="B46" t="s">
        <v>119</v>
      </c>
      <c r="C46" t="s">
        <v>49</v>
      </c>
      <c r="D46" t="s">
        <v>144</v>
      </c>
      <c r="E46" t="s">
        <v>347</v>
      </c>
      <c r="F46" t="e">
        <f t="shared" ca="1" si="1"/>
        <v>#NAME?</v>
      </c>
      <c r="G46" t="s">
        <v>447</v>
      </c>
      <c r="H46" t="s">
        <v>717</v>
      </c>
      <c r="I46">
        <v>619</v>
      </c>
      <c r="J46" t="s">
        <v>932</v>
      </c>
      <c r="Q46" t="s">
        <v>1010</v>
      </c>
      <c r="R46" t="s">
        <v>1137</v>
      </c>
    </row>
    <row r="47" spans="1:18" x14ac:dyDescent="0.25">
      <c r="A47" t="s">
        <v>24</v>
      </c>
      <c r="B47" t="s">
        <v>119</v>
      </c>
      <c r="C47" t="s">
        <v>69</v>
      </c>
      <c r="D47" t="s">
        <v>163</v>
      </c>
      <c r="E47" t="s">
        <v>341</v>
      </c>
      <c r="F47" t="e">
        <f t="shared" ca="1" si="1"/>
        <v>#NAME?</v>
      </c>
      <c r="G47" t="s">
        <v>448</v>
      </c>
      <c r="H47" t="s">
        <v>426</v>
      </c>
      <c r="I47">
        <v>681</v>
      </c>
      <c r="J47" t="s">
        <v>932</v>
      </c>
      <c r="Q47" t="s">
        <v>1011</v>
      </c>
      <c r="R47" t="s">
        <v>989</v>
      </c>
    </row>
    <row r="48" spans="1:18" x14ac:dyDescent="0.25">
      <c r="A48" t="s">
        <v>24</v>
      </c>
      <c r="B48" t="s">
        <v>119</v>
      </c>
      <c r="C48" t="s">
        <v>69</v>
      </c>
      <c r="D48" t="s">
        <v>163</v>
      </c>
      <c r="E48" t="s">
        <v>341</v>
      </c>
      <c r="F48" t="e">
        <f t="shared" ca="1" si="1"/>
        <v>#NAME?</v>
      </c>
      <c r="G48" t="s">
        <v>449</v>
      </c>
      <c r="H48" t="s">
        <v>718</v>
      </c>
      <c r="I48">
        <v>685</v>
      </c>
      <c r="J48" t="s">
        <v>932</v>
      </c>
      <c r="Q48" t="s">
        <v>1012</v>
      </c>
      <c r="R48" t="s">
        <v>1138</v>
      </c>
    </row>
    <row r="49" spans="1:18" x14ac:dyDescent="0.25">
      <c r="A49" t="s">
        <v>24</v>
      </c>
      <c r="B49" t="s">
        <v>119</v>
      </c>
      <c r="C49" t="s">
        <v>69</v>
      </c>
      <c r="D49" t="s">
        <v>163</v>
      </c>
      <c r="E49" t="s">
        <v>341</v>
      </c>
      <c r="F49" t="e">
        <f t="shared" ca="1" si="1"/>
        <v>#NAME?</v>
      </c>
      <c r="G49" t="s">
        <v>450</v>
      </c>
      <c r="H49" t="s">
        <v>460</v>
      </c>
      <c r="I49">
        <v>687</v>
      </c>
      <c r="J49" t="s">
        <v>932</v>
      </c>
      <c r="Q49" t="s">
        <v>1013</v>
      </c>
      <c r="R49" t="s">
        <v>1023</v>
      </c>
    </row>
    <row r="50" spans="1:18" x14ac:dyDescent="0.25">
      <c r="A50" t="s">
        <v>24</v>
      </c>
      <c r="B50" t="s">
        <v>119</v>
      </c>
      <c r="C50" t="s">
        <v>69</v>
      </c>
      <c r="D50" t="s">
        <v>163</v>
      </c>
      <c r="E50" t="s">
        <v>341</v>
      </c>
      <c r="F50" t="e">
        <f t="shared" ca="1" si="1"/>
        <v>#NAME?</v>
      </c>
      <c r="G50" t="s">
        <v>451</v>
      </c>
      <c r="H50" t="s">
        <v>564</v>
      </c>
      <c r="I50">
        <v>689</v>
      </c>
      <c r="J50" t="s">
        <v>932</v>
      </c>
      <c r="Q50" t="s">
        <v>1014</v>
      </c>
      <c r="R50" t="s">
        <v>1051</v>
      </c>
    </row>
    <row r="51" spans="1:18" x14ac:dyDescent="0.25">
      <c r="A51" t="s">
        <v>24</v>
      </c>
      <c r="B51" t="s">
        <v>119</v>
      </c>
      <c r="C51" t="s">
        <v>69</v>
      </c>
      <c r="D51" t="s">
        <v>163</v>
      </c>
      <c r="E51" t="s">
        <v>341</v>
      </c>
      <c r="F51" t="e">
        <f t="shared" ca="1" si="1"/>
        <v>#NAME?</v>
      </c>
      <c r="G51" t="s">
        <v>452</v>
      </c>
      <c r="H51" t="s">
        <v>453</v>
      </c>
      <c r="I51">
        <v>691</v>
      </c>
      <c r="J51" t="s">
        <v>932</v>
      </c>
      <c r="Q51" t="s">
        <v>1015</v>
      </c>
      <c r="R51" t="s">
        <v>1016</v>
      </c>
    </row>
    <row r="52" spans="1:18" x14ac:dyDescent="0.25">
      <c r="A52" t="s">
        <v>24</v>
      </c>
      <c r="B52" t="s">
        <v>119</v>
      </c>
      <c r="C52" t="s">
        <v>69</v>
      </c>
      <c r="D52" t="s">
        <v>163</v>
      </c>
      <c r="E52" t="s">
        <v>347</v>
      </c>
      <c r="F52" t="e">
        <f t="shared" ca="1" si="1"/>
        <v>#NAME?</v>
      </c>
      <c r="G52" t="s">
        <v>453</v>
      </c>
      <c r="H52" t="s">
        <v>719</v>
      </c>
      <c r="I52">
        <v>693</v>
      </c>
      <c r="J52" t="s">
        <v>932</v>
      </c>
      <c r="Q52" t="s">
        <v>1016</v>
      </c>
      <c r="R52" t="s">
        <v>1139</v>
      </c>
    </row>
    <row r="53" spans="1:18" x14ac:dyDescent="0.25">
      <c r="A53" t="s">
        <v>24</v>
      </c>
      <c r="B53" t="s">
        <v>119</v>
      </c>
      <c r="C53" t="s">
        <v>77</v>
      </c>
      <c r="D53" t="s">
        <v>171</v>
      </c>
      <c r="E53" t="s">
        <v>348</v>
      </c>
      <c r="F53" t="e">
        <f t="shared" ca="1" si="1"/>
        <v>#NAME?</v>
      </c>
      <c r="G53" t="s">
        <v>454</v>
      </c>
      <c r="H53" t="s">
        <v>720</v>
      </c>
      <c r="I53">
        <v>671</v>
      </c>
      <c r="J53" t="s">
        <v>932</v>
      </c>
      <c r="Q53" t="s">
        <v>1017</v>
      </c>
      <c r="R53" t="s">
        <v>1102</v>
      </c>
    </row>
    <row r="54" spans="1:18" x14ac:dyDescent="0.25">
      <c r="A54" t="s">
        <v>24</v>
      </c>
      <c r="B54" t="s">
        <v>119</v>
      </c>
      <c r="C54" t="s">
        <v>77</v>
      </c>
      <c r="D54" t="s">
        <v>171</v>
      </c>
      <c r="E54" t="s">
        <v>349</v>
      </c>
      <c r="F54" t="e">
        <f t="shared" ca="1" si="1"/>
        <v>#NAME?</v>
      </c>
      <c r="G54" t="s">
        <v>455</v>
      </c>
      <c r="H54" t="s">
        <v>721</v>
      </c>
      <c r="I54">
        <v>673</v>
      </c>
      <c r="J54" t="s">
        <v>932</v>
      </c>
      <c r="Q54" t="s">
        <v>1018</v>
      </c>
      <c r="R54" t="s">
        <v>1140</v>
      </c>
    </row>
    <row r="55" spans="1:18" x14ac:dyDescent="0.25">
      <c r="A55" t="s">
        <v>24</v>
      </c>
      <c r="B55" t="s">
        <v>119</v>
      </c>
      <c r="C55" t="s">
        <v>77</v>
      </c>
      <c r="D55" t="s">
        <v>171</v>
      </c>
      <c r="E55" t="s">
        <v>350</v>
      </c>
      <c r="F55" t="e">
        <f t="shared" ca="1" si="1"/>
        <v>#NAME?</v>
      </c>
      <c r="G55" t="s">
        <v>437</v>
      </c>
      <c r="H55" t="s">
        <v>428</v>
      </c>
      <c r="I55">
        <v>675</v>
      </c>
      <c r="J55" t="s">
        <v>932</v>
      </c>
      <c r="Q55" t="s">
        <v>1000</v>
      </c>
      <c r="R55" t="s">
        <v>991</v>
      </c>
    </row>
    <row r="56" spans="1:18" x14ac:dyDescent="0.25">
      <c r="A56" t="s">
        <v>24</v>
      </c>
      <c r="B56" t="s">
        <v>119</v>
      </c>
      <c r="C56" t="s">
        <v>77</v>
      </c>
      <c r="D56" t="s">
        <v>171</v>
      </c>
      <c r="E56" t="s">
        <v>347</v>
      </c>
      <c r="F56" t="e">
        <f t="shared" ca="1" si="1"/>
        <v>#NAME?</v>
      </c>
      <c r="G56" t="s">
        <v>456</v>
      </c>
      <c r="H56" t="s">
        <v>705</v>
      </c>
      <c r="I56">
        <v>677</v>
      </c>
      <c r="J56" t="s">
        <v>932</v>
      </c>
      <c r="Q56" t="s">
        <v>1019</v>
      </c>
      <c r="R56" t="s">
        <v>1084</v>
      </c>
    </row>
    <row r="57" spans="1:18" x14ac:dyDescent="0.25">
      <c r="A57" t="s">
        <v>24</v>
      </c>
      <c r="B57" t="s">
        <v>119</v>
      </c>
      <c r="C57" t="s">
        <v>98</v>
      </c>
      <c r="D57" t="s">
        <v>191</v>
      </c>
      <c r="E57" t="s">
        <v>348</v>
      </c>
      <c r="F57" t="e">
        <f t="shared" ca="1" si="1"/>
        <v>#NAME?</v>
      </c>
      <c r="G57" t="s">
        <v>457</v>
      </c>
      <c r="H57" t="s">
        <v>715</v>
      </c>
      <c r="I57">
        <v>661</v>
      </c>
      <c r="J57" t="s">
        <v>932</v>
      </c>
      <c r="Q57" t="s">
        <v>1020</v>
      </c>
      <c r="R57" t="s">
        <v>1136</v>
      </c>
    </row>
    <row r="58" spans="1:18" x14ac:dyDescent="0.25">
      <c r="A58" t="s">
        <v>24</v>
      </c>
      <c r="B58" t="s">
        <v>119</v>
      </c>
      <c r="C58" t="s">
        <v>98</v>
      </c>
      <c r="D58" t="s">
        <v>191</v>
      </c>
      <c r="E58" t="s">
        <v>351</v>
      </c>
      <c r="F58" t="e">
        <f t="shared" ca="1" si="1"/>
        <v>#NAME?</v>
      </c>
      <c r="G58" t="s">
        <v>458</v>
      </c>
      <c r="H58" t="s">
        <v>433</v>
      </c>
      <c r="I58">
        <v>93</v>
      </c>
      <c r="J58" t="s">
        <v>932</v>
      </c>
      <c r="Q58" t="s">
        <v>1021</v>
      </c>
      <c r="R58" t="s">
        <v>996</v>
      </c>
    </row>
    <row r="59" spans="1:18" x14ac:dyDescent="0.25">
      <c r="A59" t="s">
        <v>24</v>
      </c>
      <c r="B59" t="s">
        <v>119</v>
      </c>
      <c r="C59" t="s">
        <v>98</v>
      </c>
      <c r="D59" t="s">
        <v>191</v>
      </c>
      <c r="E59" t="s">
        <v>348</v>
      </c>
      <c r="F59" t="e">
        <f t="shared" ca="1" si="1"/>
        <v>#NAME?</v>
      </c>
      <c r="G59" t="s">
        <v>459</v>
      </c>
      <c r="H59" t="s">
        <v>722</v>
      </c>
      <c r="I59">
        <v>665</v>
      </c>
      <c r="J59" t="s">
        <v>932</v>
      </c>
      <c r="Q59" t="s">
        <v>1022</v>
      </c>
      <c r="R59" t="s">
        <v>1141</v>
      </c>
    </row>
    <row r="60" spans="1:18" x14ac:dyDescent="0.25">
      <c r="A60" t="s">
        <v>24</v>
      </c>
      <c r="B60" t="s">
        <v>119</v>
      </c>
      <c r="C60" t="s">
        <v>98</v>
      </c>
      <c r="D60" t="s">
        <v>191</v>
      </c>
      <c r="E60" t="s">
        <v>349</v>
      </c>
      <c r="F60" t="e">
        <f t="shared" ca="1" si="1"/>
        <v>#NAME?</v>
      </c>
      <c r="G60" t="s">
        <v>460</v>
      </c>
      <c r="H60" t="s">
        <v>723</v>
      </c>
      <c r="I60">
        <v>667</v>
      </c>
      <c r="J60" t="s">
        <v>932</v>
      </c>
      <c r="Q60" t="s">
        <v>1023</v>
      </c>
      <c r="R60" t="s">
        <v>1142</v>
      </c>
    </row>
    <row r="61" spans="1:18" x14ac:dyDescent="0.25">
      <c r="A61" t="s">
        <v>24</v>
      </c>
      <c r="B61" t="s">
        <v>119</v>
      </c>
      <c r="C61" t="s">
        <v>98</v>
      </c>
      <c r="D61" t="s">
        <v>191</v>
      </c>
      <c r="E61" t="s">
        <v>341</v>
      </c>
      <c r="F61" t="e">
        <f t="shared" ca="1" si="1"/>
        <v>#NAME?</v>
      </c>
      <c r="G61" t="s">
        <v>461</v>
      </c>
      <c r="H61" t="s">
        <v>724</v>
      </c>
      <c r="I61">
        <v>669</v>
      </c>
      <c r="J61" t="s">
        <v>932</v>
      </c>
      <c r="O61" t="s">
        <v>945</v>
      </c>
      <c r="Q61" t="s">
        <v>1024</v>
      </c>
      <c r="R61" t="s">
        <v>1143</v>
      </c>
    </row>
    <row r="62" spans="1:18" x14ac:dyDescent="0.25">
      <c r="A62" t="s">
        <v>24</v>
      </c>
      <c r="B62" t="s">
        <v>119</v>
      </c>
      <c r="C62" t="s">
        <v>110</v>
      </c>
      <c r="D62" t="s">
        <v>202</v>
      </c>
      <c r="E62" t="s">
        <v>341</v>
      </c>
      <c r="F62" t="e">
        <f t="shared" ca="1" si="1"/>
        <v>#NAME?</v>
      </c>
      <c r="G62" t="s">
        <v>462</v>
      </c>
      <c r="H62" t="s">
        <v>725</v>
      </c>
      <c r="I62">
        <v>625</v>
      </c>
      <c r="J62" t="s">
        <v>932</v>
      </c>
      <c r="Q62" t="s">
        <v>1025</v>
      </c>
      <c r="R62" t="s">
        <v>1074</v>
      </c>
    </row>
    <row r="63" spans="1:18" x14ac:dyDescent="0.25">
      <c r="A63" t="s">
        <v>25</v>
      </c>
      <c r="B63" t="s">
        <v>120</v>
      </c>
      <c r="C63" t="s">
        <v>209</v>
      </c>
      <c r="D63" t="s">
        <v>168</v>
      </c>
      <c r="E63" t="s">
        <v>341</v>
      </c>
      <c r="F63" t="e">
        <f t="shared" ca="1" si="1"/>
        <v>#NAME?</v>
      </c>
      <c r="G63" t="s">
        <v>413</v>
      </c>
      <c r="H63" t="s">
        <v>726</v>
      </c>
      <c r="I63">
        <v>733</v>
      </c>
      <c r="J63" t="s">
        <v>932</v>
      </c>
      <c r="Q63" t="s">
        <v>976</v>
      </c>
      <c r="R63" t="s">
        <v>1105</v>
      </c>
    </row>
    <row r="64" spans="1:18" x14ac:dyDescent="0.25">
      <c r="A64" t="s">
        <v>26</v>
      </c>
      <c r="B64" t="s">
        <v>121</v>
      </c>
      <c r="C64" t="s">
        <v>41</v>
      </c>
      <c r="D64" t="s">
        <v>324</v>
      </c>
      <c r="E64" t="s">
        <v>352</v>
      </c>
      <c r="F64" t="e">
        <f t="shared" ca="1" si="1"/>
        <v>#NAME?</v>
      </c>
      <c r="G64" t="s">
        <v>463</v>
      </c>
      <c r="H64" t="s">
        <v>727</v>
      </c>
      <c r="I64">
        <v>73</v>
      </c>
      <c r="J64" t="s">
        <v>932</v>
      </c>
      <c r="Q64" t="s">
        <v>1026</v>
      </c>
      <c r="R64" t="s">
        <v>1144</v>
      </c>
    </row>
    <row r="65" spans="1:18" x14ac:dyDescent="0.25">
      <c r="A65" t="s">
        <v>26</v>
      </c>
      <c r="B65" t="s">
        <v>121</v>
      </c>
      <c r="C65" t="s">
        <v>209</v>
      </c>
      <c r="D65" t="s">
        <v>168</v>
      </c>
      <c r="E65" t="s">
        <v>341</v>
      </c>
      <c r="F65" t="e">
        <f t="shared" ca="1" si="1"/>
        <v>#NAME?</v>
      </c>
      <c r="G65" t="s">
        <v>464</v>
      </c>
      <c r="H65" t="s">
        <v>715</v>
      </c>
      <c r="I65">
        <v>219</v>
      </c>
      <c r="J65" t="s">
        <v>932</v>
      </c>
      <c r="Q65" t="s">
        <v>1027</v>
      </c>
      <c r="R65" t="s">
        <v>1136</v>
      </c>
    </row>
    <row r="66" spans="1:18" x14ac:dyDescent="0.25">
      <c r="A66" t="s">
        <v>26</v>
      </c>
      <c r="B66" t="s">
        <v>121</v>
      </c>
      <c r="C66" t="s">
        <v>209</v>
      </c>
      <c r="D66" t="s">
        <v>168</v>
      </c>
      <c r="E66" t="s">
        <v>341</v>
      </c>
      <c r="F66" t="e">
        <f t="shared" ca="1" si="1"/>
        <v>#NAME?</v>
      </c>
      <c r="G66" t="s">
        <v>434</v>
      </c>
      <c r="H66" t="s">
        <v>711</v>
      </c>
      <c r="I66">
        <v>207</v>
      </c>
      <c r="J66" t="s">
        <v>932</v>
      </c>
      <c r="Q66" t="s">
        <v>997</v>
      </c>
      <c r="R66" t="s">
        <v>1128</v>
      </c>
    </row>
    <row r="67" spans="1:18" x14ac:dyDescent="0.25">
      <c r="A67" t="s">
        <v>26</v>
      </c>
      <c r="B67" t="s">
        <v>121</v>
      </c>
      <c r="C67" t="s">
        <v>209</v>
      </c>
      <c r="D67" t="s">
        <v>168</v>
      </c>
      <c r="E67" t="s">
        <v>341</v>
      </c>
      <c r="F67" t="e">
        <f t="shared" ref="F67:F130" ca="1" si="2">ConvertToOAG(E67)</f>
        <v>#NAME?</v>
      </c>
      <c r="G67" t="s">
        <v>428</v>
      </c>
      <c r="H67" t="s">
        <v>438</v>
      </c>
      <c r="I67">
        <v>533</v>
      </c>
      <c r="J67" t="s">
        <v>932</v>
      </c>
      <c r="Q67" t="s">
        <v>991</v>
      </c>
      <c r="R67" t="s">
        <v>1001</v>
      </c>
    </row>
    <row r="68" spans="1:18" x14ac:dyDescent="0.25">
      <c r="A68" t="s">
        <v>26</v>
      </c>
      <c r="B68" t="s">
        <v>121</v>
      </c>
      <c r="C68" t="s">
        <v>209</v>
      </c>
      <c r="D68" t="s">
        <v>168</v>
      </c>
      <c r="E68" t="s">
        <v>341</v>
      </c>
      <c r="F68" t="e">
        <f t="shared" ca="1" si="2"/>
        <v>#NAME?</v>
      </c>
      <c r="G68" t="s">
        <v>440</v>
      </c>
      <c r="H68" t="s">
        <v>728</v>
      </c>
      <c r="I68">
        <v>201</v>
      </c>
      <c r="J68" t="s">
        <v>932</v>
      </c>
      <c r="Q68" t="s">
        <v>1003</v>
      </c>
      <c r="R68" t="s">
        <v>1145</v>
      </c>
    </row>
    <row r="69" spans="1:18" x14ac:dyDescent="0.25">
      <c r="A69" t="s">
        <v>26</v>
      </c>
      <c r="B69" t="s">
        <v>121</v>
      </c>
      <c r="C69" t="s">
        <v>24</v>
      </c>
      <c r="D69" t="s">
        <v>119</v>
      </c>
      <c r="E69" t="s">
        <v>338</v>
      </c>
      <c r="F69" t="e">
        <f t="shared" ca="1" si="2"/>
        <v>#NAME?</v>
      </c>
      <c r="G69" t="s">
        <v>450</v>
      </c>
      <c r="H69" t="s">
        <v>729</v>
      </c>
      <c r="I69">
        <v>622</v>
      </c>
      <c r="J69" t="s">
        <v>932</v>
      </c>
      <c r="Q69" t="s">
        <v>1013</v>
      </c>
      <c r="R69" t="s">
        <v>1124</v>
      </c>
    </row>
    <row r="70" spans="1:18" x14ac:dyDescent="0.25">
      <c r="A70" t="s">
        <v>27</v>
      </c>
      <c r="B70" t="s">
        <v>122</v>
      </c>
      <c r="C70" t="s">
        <v>211</v>
      </c>
      <c r="D70" t="s">
        <v>154</v>
      </c>
      <c r="E70" t="s">
        <v>341</v>
      </c>
      <c r="F70" t="e">
        <f t="shared" ca="1" si="2"/>
        <v>#NAME?</v>
      </c>
      <c r="G70" t="s">
        <v>430</v>
      </c>
      <c r="H70" t="s">
        <v>430</v>
      </c>
      <c r="I70">
        <v>107</v>
      </c>
      <c r="J70" t="s">
        <v>932</v>
      </c>
      <c r="O70" t="s">
        <v>944</v>
      </c>
      <c r="Q70" t="s">
        <v>993</v>
      </c>
      <c r="R70" t="s">
        <v>993</v>
      </c>
    </row>
    <row r="71" spans="1:18" x14ac:dyDescent="0.25">
      <c r="A71" t="s">
        <v>27</v>
      </c>
      <c r="B71" t="s">
        <v>122</v>
      </c>
      <c r="C71" t="s">
        <v>98</v>
      </c>
      <c r="D71" t="s">
        <v>191</v>
      </c>
      <c r="E71" t="s">
        <v>341</v>
      </c>
      <c r="F71" t="e">
        <f t="shared" ca="1" si="2"/>
        <v>#NAME?</v>
      </c>
      <c r="G71" t="s">
        <v>465</v>
      </c>
      <c r="H71" t="s">
        <v>730</v>
      </c>
      <c r="I71">
        <v>106</v>
      </c>
      <c r="J71" t="s">
        <v>932</v>
      </c>
      <c r="Q71" t="s">
        <v>1028</v>
      </c>
      <c r="R71" t="s">
        <v>1112</v>
      </c>
    </row>
    <row r="72" spans="1:18" x14ac:dyDescent="0.25">
      <c r="A72" t="s">
        <v>28</v>
      </c>
      <c r="B72" t="s">
        <v>123</v>
      </c>
      <c r="C72" t="s">
        <v>69</v>
      </c>
      <c r="D72" t="s">
        <v>163</v>
      </c>
      <c r="E72" t="s">
        <v>353</v>
      </c>
      <c r="F72" t="e">
        <f t="shared" ca="1" si="2"/>
        <v>#NAME?</v>
      </c>
      <c r="G72" t="s">
        <v>466</v>
      </c>
      <c r="H72" t="s">
        <v>731</v>
      </c>
      <c r="I72">
        <v>79</v>
      </c>
      <c r="J72" t="s">
        <v>932</v>
      </c>
      <c r="Q72" t="s">
        <v>1029</v>
      </c>
      <c r="R72" t="s">
        <v>1146</v>
      </c>
    </row>
    <row r="73" spans="1:18" x14ac:dyDescent="0.25">
      <c r="A73" t="s">
        <v>29</v>
      </c>
      <c r="B73" t="s">
        <v>124</v>
      </c>
      <c r="C73" t="s">
        <v>66</v>
      </c>
      <c r="D73" t="s">
        <v>160</v>
      </c>
      <c r="E73" t="s">
        <v>354</v>
      </c>
      <c r="F73" t="e">
        <f t="shared" ca="1" si="2"/>
        <v>#NAME?</v>
      </c>
      <c r="G73" t="s">
        <v>467</v>
      </c>
      <c r="H73" t="s">
        <v>706</v>
      </c>
      <c r="I73">
        <v>454</v>
      </c>
      <c r="J73" t="s">
        <v>932</v>
      </c>
      <c r="O73" t="s">
        <v>946</v>
      </c>
      <c r="Q73" t="s">
        <v>1030</v>
      </c>
      <c r="R73" t="s">
        <v>1133</v>
      </c>
    </row>
    <row r="74" spans="1:18" x14ac:dyDescent="0.25">
      <c r="A74" t="s">
        <v>29</v>
      </c>
      <c r="B74" t="s">
        <v>124</v>
      </c>
      <c r="C74" t="s">
        <v>68</v>
      </c>
      <c r="D74" t="s">
        <v>162</v>
      </c>
      <c r="E74" t="s">
        <v>353</v>
      </c>
      <c r="F74" t="e">
        <f t="shared" ca="1" si="2"/>
        <v>#NAME?</v>
      </c>
      <c r="G74" t="s">
        <v>468</v>
      </c>
      <c r="H74" t="s">
        <v>721</v>
      </c>
      <c r="I74">
        <v>201</v>
      </c>
      <c r="J74" t="s">
        <v>932</v>
      </c>
      <c r="Q74" t="s">
        <v>1031</v>
      </c>
      <c r="R74" t="s">
        <v>1140</v>
      </c>
    </row>
    <row r="75" spans="1:18" x14ac:dyDescent="0.25">
      <c r="A75" t="s">
        <v>29</v>
      </c>
      <c r="B75" t="s">
        <v>124</v>
      </c>
      <c r="C75" t="s">
        <v>212</v>
      </c>
      <c r="D75" t="s">
        <v>181</v>
      </c>
      <c r="E75" t="s">
        <v>340</v>
      </c>
      <c r="F75" t="e">
        <f t="shared" ca="1" si="2"/>
        <v>#NAME?</v>
      </c>
      <c r="G75" t="s">
        <v>420</v>
      </c>
      <c r="H75" t="s">
        <v>473</v>
      </c>
      <c r="I75">
        <v>202</v>
      </c>
      <c r="J75" t="s">
        <v>932</v>
      </c>
      <c r="Q75" t="s">
        <v>983</v>
      </c>
      <c r="R75" t="s">
        <v>1036</v>
      </c>
    </row>
    <row r="76" spans="1:18" x14ac:dyDescent="0.25">
      <c r="A76" t="s">
        <v>30</v>
      </c>
      <c r="B76" t="s">
        <v>125</v>
      </c>
      <c r="C76" t="s">
        <v>209</v>
      </c>
      <c r="D76" t="s">
        <v>168</v>
      </c>
      <c r="E76" t="s">
        <v>339</v>
      </c>
      <c r="F76" t="e">
        <f t="shared" ca="1" si="2"/>
        <v>#NAME?</v>
      </c>
      <c r="G76" t="s">
        <v>448</v>
      </c>
      <c r="H76" t="s">
        <v>458</v>
      </c>
      <c r="I76">
        <v>951</v>
      </c>
      <c r="J76" t="s">
        <v>932</v>
      </c>
      <c r="Q76" t="s">
        <v>1011</v>
      </c>
      <c r="R76" t="s">
        <v>1021</v>
      </c>
    </row>
    <row r="77" spans="1:18" x14ac:dyDescent="0.25">
      <c r="A77" t="s">
        <v>30</v>
      </c>
      <c r="B77" t="s">
        <v>125</v>
      </c>
      <c r="C77" t="s">
        <v>209</v>
      </c>
      <c r="D77" t="s">
        <v>168</v>
      </c>
      <c r="E77" t="s">
        <v>341</v>
      </c>
      <c r="F77" t="e">
        <f t="shared" ca="1" si="2"/>
        <v>#NAME?</v>
      </c>
      <c r="G77" t="s">
        <v>427</v>
      </c>
      <c r="H77" t="s">
        <v>568</v>
      </c>
      <c r="I77">
        <v>955</v>
      </c>
      <c r="J77" t="s">
        <v>932</v>
      </c>
      <c r="Q77" t="s">
        <v>990</v>
      </c>
      <c r="R77" t="s">
        <v>1053</v>
      </c>
    </row>
    <row r="78" spans="1:18" x14ac:dyDescent="0.25">
      <c r="A78" t="s">
        <v>30</v>
      </c>
      <c r="B78" t="s">
        <v>125</v>
      </c>
      <c r="C78" t="s">
        <v>209</v>
      </c>
      <c r="D78" t="s">
        <v>168</v>
      </c>
      <c r="E78" t="s">
        <v>341</v>
      </c>
      <c r="F78" t="e">
        <f t="shared" ca="1" si="2"/>
        <v>#NAME?</v>
      </c>
      <c r="G78" t="s">
        <v>408</v>
      </c>
      <c r="H78" t="s">
        <v>732</v>
      </c>
      <c r="I78">
        <v>945</v>
      </c>
      <c r="J78" t="s">
        <v>932</v>
      </c>
      <c r="Q78" t="s">
        <v>971</v>
      </c>
      <c r="R78" t="s">
        <v>1123</v>
      </c>
    </row>
    <row r="79" spans="1:18" x14ac:dyDescent="0.25">
      <c r="A79" t="s">
        <v>30</v>
      </c>
      <c r="B79" t="s">
        <v>125</v>
      </c>
      <c r="C79" t="s">
        <v>209</v>
      </c>
      <c r="D79" t="s">
        <v>168</v>
      </c>
      <c r="E79" t="s">
        <v>341</v>
      </c>
      <c r="F79" t="e">
        <f t="shared" ca="1" si="2"/>
        <v>#NAME?</v>
      </c>
      <c r="G79" t="s">
        <v>469</v>
      </c>
      <c r="H79" t="s">
        <v>733</v>
      </c>
      <c r="I79">
        <v>949</v>
      </c>
      <c r="J79" t="s">
        <v>932</v>
      </c>
      <c r="Q79" t="s">
        <v>1032</v>
      </c>
      <c r="R79" t="s">
        <v>1067</v>
      </c>
    </row>
    <row r="80" spans="1:18" x14ac:dyDescent="0.25">
      <c r="A80" t="s">
        <v>31</v>
      </c>
      <c r="B80" t="s">
        <v>126</v>
      </c>
      <c r="C80" t="s">
        <v>66</v>
      </c>
      <c r="D80" t="s">
        <v>160</v>
      </c>
      <c r="E80" t="s">
        <v>341</v>
      </c>
      <c r="F80" t="e">
        <f t="shared" ca="1" si="2"/>
        <v>#NAME?</v>
      </c>
      <c r="G80" t="s">
        <v>470</v>
      </c>
      <c r="H80" t="s">
        <v>734</v>
      </c>
      <c r="I80">
        <v>442</v>
      </c>
      <c r="J80" t="s">
        <v>932</v>
      </c>
      <c r="Q80" t="s">
        <v>1033</v>
      </c>
      <c r="R80" t="s">
        <v>1147</v>
      </c>
    </row>
    <row r="81" spans="1:18" x14ac:dyDescent="0.25">
      <c r="A81" t="s">
        <v>31</v>
      </c>
      <c r="B81" t="s">
        <v>126</v>
      </c>
      <c r="C81" t="s">
        <v>66</v>
      </c>
      <c r="D81" t="s">
        <v>160</v>
      </c>
      <c r="E81" t="s">
        <v>339</v>
      </c>
      <c r="F81" t="e">
        <f t="shared" ca="1" si="2"/>
        <v>#NAME?</v>
      </c>
      <c r="G81" t="s">
        <v>471</v>
      </c>
      <c r="H81" t="s">
        <v>735</v>
      </c>
      <c r="I81">
        <v>444</v>
      </c>
      <c r="J81" t="s">
        <v>932</v>
      </c>
      <c r="K81" t="s">
        <v>933</v>
      </c>
      <c r="Q81" t="s">
        <v>1034</v>
      </c>
      <c r="R81" t="s">
        <v>1148</v>
      </c>
    </row>
    <row r="82" spans="1:18" x14ac:dyDescent="0.25">
      <c r="A82" t="s">
        <v>31</v>
      </c>
      <c r="B82" t="s">
        <v>126</v>
      </c>
      <c r="C82" t="s">
        <v>209</v>
      </c>
      <c r="D82" t="s">
        <v>168</v>
      </c>
      <c r="E82" t="s">
        <v>355</v>
      </c>
      <c r="F82" t="e">
        <f t="shared" ca="1" si="2"/>
        <v>#NAME?</v>
      </c>
      <c r="G82" t="s">
        <v>424</v>
      </c>
      <c r="H82" t="s">
        <v>415</v>
      </c>
      <c r="I82">
        <v>218</v>
      </c>
      <c r="J82" t="s">
        <v>932</v>
      </c>
      <c r="L82" s="1">
        <v>45076</v>
      </c>
      <c r="Q82" t="s">
        <v>987</v>
      </c>
      <c r="R82" t="s">
        <v>978</v>
      </c>
    </row>
    <row r="83" spans="1:18" x14ac:dyDescent="0.25">
      <c r="A83" t="s">
        <v>31</v>
      </c>
      <c r="B83" t="s">
        <v>126</v>
      </c>
      <c r="C83" t="s">
        <v>209</v>
      </c>
      <c r="D83" t="s">
        <v>168</v>
      </c>
      <c r="E83" t="s">
        <v>355</v>
      </c>
      <c r="F83" t="e">
        <f t="shared" ca="1" si="2"/>
        <v>#NAME?</v>
      </c>
      <c r="G83" t="s">
        <v>424</v>
      </c>
      <c r="H83" t="s">
        <v>436</v>
      </c>
      <c r="I83">
        <v>218</v>
      </c>
      <c r="J83" t="s">
        <v>932</v>
      </c>
      <c r="K83" s="1">
        <v>45079</v>
      </c>
      <c r="L83" s="1">
        <v>45178</v>
      </c>
      <c r="O83" t="s">
        <v>947</v>
      </c>
      <c r="Q83" t="s">
        <v>987</v>
      </c>
      <c r="R83" t="s">
        <v>999</v>
      </c>
    </row>
    <row r="84" spans="1:18" x14ac:dyDescent="0.25">
      <c r="A84" t="s">
        <v>31</v>
      </c>
      <c r="B84" t="s">
        <v>126</v>
      </c>
      <c r="C84" t="s">
        <v>209</v>
      </c>
      <c r="D84" t="s">
        <v>168</v>
      </c>
      <c r="E84" t="s">
        <v>355</v>
      </c>
      <c r="F84" t="e">
        <f t="shared" ca="1" si="2"/>
        <v>#NAME?</v>
      </c>
      <c r="G84" t="s">
        <v>424</v>
      </c>
      <c r="H84" t="s">
        <v>436</v>
      </c>
      <c r="I84">
        <v>218</v>
      </c>
      <c r="J84" t="s">
        <v>932</v>
      </c>
      <c r="K84" s="1">
        <v>45179</v>
      </c>
      <c r="Q84" t="s">
        <v>987</v>
      </c>
      <c r="R84" t="s">
        <v>999</v>
      </c>
    </row>
    <row r="85" spans="1:18" x14ac:dyDescent="0.25">
      <c r="A85" t="s">
        <v>32</v>
      </c>
      <c r="B85" t="s">
        <v>127</v>
      </c>
      <c r="C85" t="s">
        <v>213</v>
      </c>
      <c r="D85" t="s">
        <v>198</v>
      </c>
      <c r="E85" t="s">
        <v>341</v>
      </c>
      <c r="F85" t="e">
        <f t="shared" ca="1" si="2"/>
        <v>#NAME?</v>
      </c>
      <c r="G85" t="s">
        <v>472</v>
      </c>
      <c r="H85" t="s">
        <v>736</v>
      </c>
      <c r="I85">
        <v>550</v>
      </c>
      <c r="J85" t="s">
        <v>932</v>
      </c>
      <c r="Q85" t="s">
        <v>1035</v>
      </c>
      <c r="R85" t="s">
        <v>1149</v>
      </c>
    </row>
    <row r="86" spans="1:18" x14ac:dyDescent="0.25">
      <c r="A86" t="s">
        <v>33</v>
      </c>
      <c r="B86" t="s">
        <v>128</v>
      </c>
      <c r="C86" t="s">
        <v>214</v>
      </c>
      <c r="D86" t="s">
        <v>325</v>
      </c>
      <c r="E86" t="s">
        <v>341</v>
      </c>
      <c r="F86" t="e">
        <f t="shared" ca="1" si="2"/>
        <v>#NAME?</v>
      </c>
      <c r="G86" t="s">
        <v>473</v>
      </c>
      <c r="H86" t="s">
        <v>737</v>
      </c>
      <c r="I86">
        <v>77</v>
      </c>
      <c r="J86" t="s">
        <v>932</v>
      </c>
      <c r="Q86" t="s">
        <v>1036</v>
      </c>
      <c r="R86" t="s">
        <v>1078</v>
      </c>
    </row>
    <row r="87" spans="1:18" x14ac:dyDescent="0.25">
      <c r="A87" t="s">
        <v>33</v>
      </c>
      <c r="B87" t="s">
        <v>128</v>
      </c>
      <c r="C87" t="s">
        <v>209</v>
      </c>
      <c r="D87" t="s">
        <v>168</v>
      </c>
      <c r="E87" t="s">
        <v>341</v>
      </c>
      <c r="F87" t="e">
        <f t="shared" ca="1" si="2"/>
        <v>#NAME?</v>
      </c>
      <c r="G87" t="s">
        <v>474</v>
      </c>
      <c r="H87" t="s">
        <v>738</v>
      </c>
      <c r="I87">
        <v>225</v>
      </c>
      <c r="J87" t="s">
        <v>932</v>
      </c>
      <c r="Q87" t="s">
        <v>1037</v>
      </c>
      <c r="R87" t="s">
        <v>1150</v>
      </c>
    </row>
    <row r="88" spans="1:18" x14ac:dyDescent="0.25">
      <c r="A88" t="s">
        <v>33</v>
      </c>
      <c r="B88" t="s">
        <v>128</v>
      </c>
      <c r="C88" t="s">
        <v>209</v>
      </c>
      <c r="D88" t="s">
        <v>168</v>
      </c>
      <c r="E88" t="s">
        <v>341</v>
      </c>
      <c r="F88" t="e">
        <f t="shared" ca="1" si="2"/>
        <v>#NAME?</v>
      </c>
      <c r="G88" t="s">
        <v>445</v>
      </c>
      <c r="H88" t="s">
        <v>725</v>
      </c>
      <c r="I88">
        <v>78</v>
      </c>
      <c r="J88" t="s">
        <v>932</v>
      </c>
      <c r="Q88" t="s">
        <v>1008</v>
      </c>
      <c r="R88" t="s">
        <v>1074</v>
      </c>
    </row>
    <row r="89" spans="1:18" x14ac:dyDescent="0.25">
      <c r="A89" t="s">
        <v>33</v>
      </c>
      <c r="B89" t="s">
        <v>128</v>
      </c>
      <c r="C89" t="s">
        <v>215</v>
      </c>
      <c r="D89" t="s">
        <v>186</v>
      </c>
      <c r="E89" t="s">
        <v>341</v>
      </c>
      <c r="F89" t="e">
        <f t="shared" ca="1" si="2"/>
        <v>#NAME?</v>
      </c>
      <c r="G89" t="s">
        <v>424</v>
      </c>
      <c r="H89" t="s">
        <v>739</v>
      </c>
      <c r="I89">
        <v>561</v>
      </c>
      <c r="J89" t="s">
        <v>932</v>
      </c>
      <c r="Q89" t="s">
        <v>987</v>
      </c>
      <c r="R89" t="s">
        <v>1151</v>
      </c>
    </row>
    <row r="90" spans="1:18" x14ac:dyDescent="0.25">
      <c r="A90" t="s">
        <v>34</v>
      </c>
      <c r="B90" t="s">
        <v>129</v>
      </c>
      <c r="C90" t="s">
        <v>216</v>
      </c>
      <c r="D90" t="s">
        <v>176</v>
      </c>
      <c r="E90" t="s">
        <v>341</v>
      </c>
      <c r="F90" t="e">
        <f t="shared" ca="1" si="2"/>
        <v>#NAME?</v>
      </c>
      <c r="G90" t="s">
        <v>415</v>
      </c>
      <c r="H90" t="s">
        <v>740</v>
      </c>
      <c r="I90">
        <v>546</v>
      </c>
      <c r="J90" t="s">
        <v>932</v>
      </c>
      <c r="Q90" t="s">
        <v>978</v>
      </c>
      <c r="R90" t="s">
        <v>1152</v>
      </c>
    </row>
    <row r="91" spans="1:18" x14ac:dyDescent="0.25">
      <c r="A91" t="s">
        <v>35</v>
      </c>
      <c r="B91" t="s">
        <v>130</v>
      </c>
      <c r="C91" t="s">
        <v>217</v>
      </c>
      <c r="D91" t="s">
        <v>164</v>
      </c>
      <c r="E91" t="s">
        <v>341</v>
      </c>
      <c r="F91" t="e">
        <f t="shared" ca="1" si="2"/>
        <v>#NAME?</v>
      </c>
      <c r="G91" t="s">
        <v>453</v>
      </c>
      <c r="H91" t="s">
        <v>421</v>
      </c>
      <c r="I91">
        <v>557</v>
      </c>
      <c r="J91" t="s">
        <v>932</v>
      </c>
      <c r="Q91" t="s">
        <v>1016</v>
      </c>
      <c r="R91" t="s">
        <v>984</v>
      </c>
    </row>
    <row r="92" spans="1:18" x14ac:dyDescent="0.25">
      <c r="A92" t="s">
        <v>35</v>
      </c>
      <c r="B92" t="s">
        <v>130</v>
      </c>
      <c r="C92" t="s">
        <v>218</v>
      </c>
      <c r="E92" t="s">
        <v>341</v>
      </c>
      <c r="F92" t="e">
        <f t="shared" ca="1" si="2"/>
        <v>#NAME?</v>
      </c>
      <c r="G92" t="s">
        <v>475</v>
      </c>
      <c r="H92" t="s">
        <v>741</v>
      </c>
      <c r="I92">
        <v>556</v>
      </c>
      <c r="J92" t="s">
        <v>932</v>
      </c>
      <c r="Q92" t="s">
        <v>1038</v>
      </c>
      <c r="R92" t="s">
        <v>1153</v>
      </c>
    </row>
    <row r="93" spans="1:18" x14ac:dyDescent="0.25">
      <c r="A93" t="s">
        <v>36</v>
      </c>
      <c r="B93" t="s">
        <v>131</v>
      </c>
      <c r="C93" t="s">
        <v>219</v>
      </c>
      <c r="D93" t="s">
        <v>161</v>
      </c>
      <c r="E93" t="s">
        <v>356</v>
      </c>
      <c r="F93" t="e">
        <f t="shared" ca="1" si="2"/>
        <v>#NAME?</v>
      </c>
      <c r="G93" t="s">
        <v>476</v>
      </c>
      <c r="H93" t="s">
        <v>712</v>
      </c>
      <c r="I93">
        <v>188</v>
      </c>
      <c r="J93" t="s">
        <v>932</v>
      </c>
      <c r="Q93" t="s">
        <v>1039</v>
      </c>
      <c r="R93" t="s">
        <v>1081</v>
      </c>
    </row>
    <row r="94" spans="1:18" x14ac:dyDescent="0.25">
      <c r="A94" t="s">
        <v>36</v>
      </c>
      <c r="B94" t="s">
        <v>132</v>
      </c>
      <c r="C94" t="s">
        <v>220</v>
      </c>
      <c r="E94" t="s">
        <v>357</v>
      </c>
      <c r="F94" t="e">
        <f t="shared" ca="1" si="2"/>
        <v>#NAME?</v>
      </c>
      <c r="G94" t="s">
        <v>477</v>
      </c>
      <c r="H94" t="s">
        <v>742</v>
      </c>
      <c r="I94">
        <v>789</v>
      </c>
      <c r="J94" t="s">
        <v>932</v>
      </c>
      <c r="Q94" t="s">
        <v>1040</v>
      </c>
      <c r="R94" t="s">
        <v>1154</v>
      </c>
    </row>
    <row r="95" spans="1:18" x14ac:dyDescent="0.25">
      <c r="A95" t="s">
        <v>37</v>
      </c>
      <c r="B95" t="s">
        <v>132</v>
      </c>
      <c r="C95" t="s">
        <v>221</v>
      </c>
      <c r="D95" t="s">
        <v>116</v>
      </c>
      <c r="E95" t="s">
        <v>341</v>
      </c>
      <c r="F95" t="e">
        <f t="shared" ca="1" si="2"/>
        <v>#NAME?</v>
      </c>
      <c r="G95" t="s">
        <v>430</v>
      </c>
      <c r="H95" t="s">
        <v>702</v>
      </c>
      <c r="I95">
        <v>1</v>
      </c>
      <c r="J95" t="s">
        <v>932</v>
      </c>
      <c r="Q95" t="s">
        <v>993</v>
      </c>
      <c r="R95" t="s">
        <v>1111</v>
      </c>
    </row>
    <row r="96" spans="1:18" x14ac:dyDescent="0.25">
      <c r="A96" t="s">
        <v>37</v>
      </c>
      <c r="B96" t="s">
        <v>132</v>
      </c>
      <c r="C96" t="s">
        <v>222</v>
      </c>
      <c r="D96" t="s">
        <v>160</v>
      </c>
      <c r="E96" t="s">
        <v>341</v>
      </c>
      <c r="F96" t="e">
        <f t="shared" ca="1" si="2"/>
        <v>#NAME?</v>
      </c>
      <c r="G96" t="s">
        <v>452</v>
      </c>
      <c r="H96" t="s">
        <v>699</v>
      </c>
      <c r="I96">
        <v>576</v>
      </c>
      <c r="J96" t="s">
        <v>932</v>
      </c>
      <c r="Q96" t="s">
        <v>1015</v>
      </c>
      <c r="R96" t="s">
        <v>1075</v>
      </c>
    </row>
    <row r="97" spans="1:18" x14ac:dyDescent="0.25">
      <c r="A97" t="s">
        <v>37</v>
      </c>
      <c r="B97" t="s">
        <v>132</v>
      </c>
      <c r="C97" t="s">
        <v>223</v>
      </c>
      <c r="E97" t="s">
        <v>341</v>
      </c>
      <c r="F97" t="e">
        <f t="shared" ca="1" si="2"/>
        <v>#NAME?</v>
      </c>
      <c r="G97" t="s">
        <v>478</v>
      </c>
      <c r="H97" t="s">
        <v>446</v>
      </c>
      <c r="I97">
        <v>2</v>
      </c>
      <c r="J97" t="s">
        <v>932</v>
      </c>
      <c r="Q97" t="s">
        <v>1041</v>
      </c>
      <c r="R97" t="s">
        <v>1009</v>
      </c>
    </row>
    <row r="98" spans="1:18" x14ac:dyDescent="0.25">
      <c r="A98" t="s">
        <v>37</v>
      </c>
      <c r="B98" t="s">
        <v>132</v>
      </c>
      <c r="C98" t="s">
        <v>224</v>
      </c>
      <c r="D98" t="s">
        <v>186</v>
      </c>
      <c r="E98" t="s">
        <v>341</v>
      </c>
      <c r="F98" t="e">
        <f t="shared" ca="1" si="2"/>
        <v>#NAME?</v>
      </c>
      <c r="G98" t="s">
        <v>479</v>
      </c>
      <c r="H98" t="s">
        <v>743</v>
      </c>
      <c r="I98">
        <v>575</v>
      </c>
      <c r="J98" t="s">
        <v>932</v>
      </c>
      <c r="Q98" t="s">
        <v>1042</v>
      </c>
      <c r="R98" t="s">
        <v>1155</v>
      </c>
    </row>
    <row r="99" spans="1:18" x14ac:dyDescent="0.25">
      <c r="A99" t="s">
        <v>37</v>
      </c>
      <c r="B99" t="s">
        <v>132</v>
      </c>
      <c r="C99" t="s">
        <v>225</v>
      </c>
      <c r="D99" t="s">
        <v>196</v>
      </c>
      <c r="E99" t="s">
        <v>341</v>
      </c>
      <c r="F99" t="e">
        <f t="shared" ca="1" si="2"/>
        <v>#NAME?</v>
      </c>
      <c r="G99" t="s">
        <v>479</v>
      </c>
      <c r="H99" t="s">
        <v>726</v>
      </c>
      <c r="I99" t="s">
        <v>928</v>
      </c>
      <c r="J99" t="s">
        <v>932</v>
      </c>
      <c r="Q99" t="s">
        <v>1042</v>
      </c>
      <c r="R99" t="s">
        <v>1105</v>
      </c>
    </row>
    <row r="100" spans="1:18" x14ac:dyDescent="0.25">
      <c r="A100" t="s">
        <v>38</v>
      </c>
      <c r="B100" t="s">
        <v>133</v>
      </c>
      <c r="C100" t="s">
        <v>45</v>
      </c>
      <c r="D100" t="s">
        <v>140</v>
      </c>
      <c r="E100" t="s">
        <v>358</v>
      </c>
      <c r="F100" t="e">
        <f t="shared" ca="1" si="2"/>
        <v>#NAME?</v>
      </c>
      <c r="G100" t="s">
        <v>480</v>
      </c>
      <c r="H100" t="s">
        <v>711</v>
      </c>
      <c r="I100">
        <v>73</v>
      </c>
      <c r="J100" t="s">
        <v>932</v>
      </c>
      <c r="K100" s="1">
        <v>45109</v>
      </c>
      <c r="L100" s="1">
        <v>45139</v>
      </c>
      <c r="O100" t="s">
        <v>948</v>
      </c>
      <c r="Q100" t="s">
        <v>1043</v>
      </c>
      <c r="R100" t="s">
        <v>1128</v>
      </c>
    </row>
    <row r="101" spans="1:18" x14ac:dyDescent="0.25">
      <c r="A101" t="s">
        <v>38</v>
      </c>
      <c r="B101" t="s">
        <v>133</v>
      </c>
      <c r="C101" t="s">
        <v>45</v>
      </c>
      <c r="D101" t="s">
        <v>140</v>
      </c>
      <c r="E101" t="s">
        <v>359</v>
      </c>
      <c r="F101" t="e">
        <f t="shared" ca="1" si="2"/>
        <v>#NAME?</v>
      </c>
      <c r="G101" t="s">
        <v>480</v>
      </c>
      <c r="H101" t="s">
        <v>711</v>
      </c>
      <c r="I101">
        <v>73</v>
      </c>
      <c r="J101" t="s">
        <v>932</v>
      </c>
      <c r="M101" s="1">
        <v>45108</v>
      </c>
      <c r="N101" s="1">
        <v>45141</v>
      </c>
      <c r="O101" t="s">
        <v>948</v>
      </c>
      <c r="Q101" t="s">
        <v>1043</v>
      </c>
      <c r="R101" t="s">
        <v>1128</v>
      </c>
    </row>
    <row r="102" spans="1:18" x14ac:dyDescent="0.25">
      <c r="A102" t="s">
        <v>38</v>
      </c>
      <c r="B102" t="s">
        <v>133</v>
      </c>
      <c r="C102" t="s">
        <v>57</v>
      </c>
      <c r="D102" t="s">
        <v>152</v>
      </c>
      <c r="E102" t="s">
        <v>359</v>
      </c>
      <c r="F102" t="e">
        <f t="shared" ca="1" si="2"/>
        <v>#NAME?</v>
      </c>
      <c r="G102" t="s">
        <v>481</v>
      </c>
      <c r="H102" t="s">
        <v>744</v>
      </c>
      <c r="I102">
        <v>73</v>
      </c>
      <c r="J102" t="s">
        <v>932</v>
      </c>
      <c r="K102" s="1">
        <v>45146</v>
      </c>
      <c r="M102" s="1">
        <v>45175</v>
      </c>
      <c r="O102" t="s">
        <v>949</v>
      </c>
      <c r="Q102" t="s">
        <v>1044</v>
      </c>
      <c r="R102" t="s">
        <v>1156</v>
      </c>
    </row>
    <row r="103" spans="1:18" x14ac:dyDescent="0.25">
      <c r="A103" t="s">
        <v>38</v>
      </c>
      <c r="B103" t="s">
        <v>133</v>
      </c>
      <c r="C103" t="s">
        <v>57</v>
      </c>
      <c r="D103" t="s">
        <v>152</v>
      </c>
      <c r="E103" t="s">
        <v>360</v>
      </c>
      <c r="F103" t="e">
        <f t="shared" ca="1" si="2"/>
        <v>#NAME?</v>
      </c>
      <c r="G103" t="s">
        <v>481</v>
      </c>
      <c r="H103" t="s">
        <v>744</v>
      </c>
      <c r="I103">
        <v>73</v>
      </c>
      <c r="J103" t="s">
        <v>932</v>
      </c>
      <c r="L103" s="1">
        <v>45143</v>
      </c>
      <c r="Q103" t="s">
        <v>1044</v>
      </c>
      <c r="R103" t="s">
        <v>1156</v>
      </c>
    </row>
    <row r="104" spans="1:18" x14ac:dyDescent="0.25">
      <c r="A104" t="s">
        <v>39</v>
      </c>
      <c r="B104" t="s">
        <v>134</v>
      </c>
      <c r="C104" t="s">
        <v>226</v>
      </c>
      <c r="D104" t="s">
        <v>149</v>
      </c>
      <c r="E104" t="s">
        <v>341</v>
      </c>
      <c r="F104" t="e">
        <f t="shared" ca="1" si="2"/>
        <v>#NAME?</v>
      </c>
      <c r="G104" t="s">
        <v>482</v>
      </c>
      <c r="H104" t="s">
        <v>482</v>
      </c>
      <c r="I104">
        <v>563</v>
      </c>
      <c r="J104" t="s">
        <v>932</v>
      </c>
    </row>
    <row r="105" spans="1:18" x14ac:dyDescent="0.25">
      <c r="A105" t="s">
        <v>39</v>
      </c>
      <c r="B105" t="s">
        <v>134</v>
      </c>
      <c r="C105" t="s">
        <v>209</v>
      </c>
      <c r="D105" t="s">
        <v>168</v>
      </c>
      <c r="E105" t="s">
        <v>341</v>
      </c>
      <c r="F105" t="e">
        <f t="shared" ca="1" si="2"/>
        <v>#NAME?</v>
      </c>
      <c r="G105" t="s">
        <v>483</v>
      </c>
      <c r="H105" t="s">
        <v>745</v>
      </c>
      <c r="I105">
        <v>108</v>
      </c>
      <c r="J105" t="s">
        <v>932</v>
      </c>
      <c r="O105" t="s">
        <v>950</v>
      </c>
    </row>
    <row r="106" spans="1:18" x14ac:dyDescent="0.25">
      <c r="A106" t="s">
        <v>39</v>
      </c>
      <c r="B106" t="s">
        <v>134</v>
      </c>
      <c r="C106" t="s">
        <v>209</v>
      </c>
      <c r="D106" t="s">
        <v>168</v>
      </c>
      <c r="E106" t="s">
        <v>341</v>
      </c>
      <c r="F106" t="e">
        <f t="shared" ca="1" si="2"/>
        <v>#NAME?</v>
      </c>
      <c r="G106" t="s">
        <v>484</v>
      </c>
      <c r="H106" t="s">
        <v>746</v>
      </c>
      <c r="I106">
        <v>554</v>
      </c>
      <c r="J106" t="s">
        <v>932</v>
      </c>
      <c r="O106" t="s">
        <v>950</v>
      </c>
    </row>
    <row r="107" spans="1:18" x14ac:dyDescent="0.25">
      <c r="A107" t="s">
        <v>40</v>
      </c>
      <c r="B107" t="s">
        <v>135</v>
      </c>
      <c r="C107" t="s">
        <v>209</v>
      </c>
      <c r="D107" t="s">
        <v>168</v>
      </c>
      <c r="E107" t="s">
        <v>361</v>
      </c>
      <c r="F107" t="e">
        <f t="shared" ca="1" si="2"/>
        <v>#NAME?</v>
      </c>
      <c r="G107" t="s">
        <v>485</v>
      </c>
      <c r="H107" t="s">
        <v>747</v>
      </c>
      <c r="I107">
        <v>66</v>
      </c>
      <c r="J107" t="s">
        <v>932</v>
      </c>
      <c r="O107" t="s">
        <v>951</v>
      </c>
    </row>
    <row r="108" spans="1:18" x14ac:dyDescent="0.25">
      <c r="A108" t="s">
        <v>41</v>
      </c>
      <c r="B108" t="s">
        <v>136</v>
      </c>
      <c r="C108" t="s">
        <v>26</v>
      </c>
      <c r="D108" t="s">
        <v>121</v>
      </c>
      <c r="E108" t="s">
        <v>362</v>
      </c>
      <c r="F108" t="e">
        <f t="shared" ca="1" si="2"/>
        <v>#NAME?</v>
      </c>
      <c r="G108" t="s">
        <v>486</v>
      </c>
      <c r="H108" t="s">
        <v>748</v>
      </c>
      <c r="J108" t="s">
        <v>932</v>
      </c>
    </row>
    <row r="109" spans="1:18" x14ac:dyDescent="0.25">
      <c r="A109" t="s">
        <v>41</v>
      </c>
      <c r="B109" t="s">
        <v>136</v>
      </c>
      <c r="C109" t="s">
        <v>45</v>
      </c>
      <c r="D109" t="s">
        <v>140</v>
      </c>
      <c r="E109" t="s">
        <v>352</v>
      </c>
      <c r="F109" t="e">
        <f t="shared" ca="1" si="2"/>
        <v>#NAME?</v>
      </c>
      <c r="G109" t="s">
        <v>487</v>
      </c>
      <c r="H109" t="s">
        <v>544</v>
      </c>
      <c r="I109">
        <v>73</v>
      </c>
      <c r="J109" t="s">
        <v>932</v>
      </c>
    </row>
    <row r="110" spans="1:18" x14ac:dyDescent="0.25">
      <c r="A110" t="s">
        <v>42</v>
      </c>
      <c r="B110" t="s">
        <v>137</v>
      </c>
      <c r="C110" t="s">
        <v>69</v>
      </c>
      <c r="D110" t="s">
        <v>163</v>
      </c>
      <c r="E110" t="s">
        <v>363</v>
      </c>
      <c r="F110" t="e">
        <f t="shared" ca="1" si="2"/>
        <v>#NAME?</v>
      </c>
      <c r="G110" t="s">
        <v>488</v>
      </c>
      <c r="H110" t="s">
        <v>749</v>
      </c>
      <c r="I110">
        <v>79</v>
      </c>
      <c r="J110" t="s">
        <v>932</v>
      </c>
    </row>
    <row r="111" spans="1:18" x14ac:dyDescent="0.25">
      <c r="A111" t="s">
        <v>42</v>
      </c>
      <c r="B111" t="s">
        <v>137</v>
      </c>
      <c r="C111" t="s">
        <v>110</v>
      </c>
      <c r="D111" t="s">
        <v>203</v>
      </c>
      <c r="E111" t="s">
        <v>364</v>
      </c>
      <c r="F111" t="e">
        <f t="shared" ca="1" si="2"/>
        <v>#NAME?</v>
      </c>
      <c r="G111" t="s">
        <v>489</v>
      </c>
      <c r="H111" t="s">
        <v>750</v>
      </c>
      <c r="I111">
        <v>93</v>
      </c>
      <c r="J111" t="s">
        <v>932</v>
      </c>
    </row>
    <row r="112" spans="1:18" x14ac:dyDescent="0.25">
      <c r="A112" t="s">
        <v>43</v>
      </c>
      <c r="B112" t="s">
        <v>138</v>
      </c>
      <c r="C112" t="s">
        <v>227</v>
      </c>
      <c r="D112" t="s">
        <v>168</v>
      </c>
      <c r="E112" t="s">
        <v>339</v>
      </c>
      <c r="F112" t="e">
        <f t="shared" ca="1" si="2"/>
        <v>#NAME?</v>
      </c>
      <c r="G112" t="s">
        <v>490</v>
      </c>
      <c r="H112" t="s">
        <v>751</v>
      </c>
      <c r="I112">
        <v>234</v>
      </c>
      <c r="J112" t="s">
        <v>932</v>
      </c>
    </row>
    <row r="113" spans="1:14" x14ac:dyDescent="0.25">
      <c r="A113" t="s">
        <v>44</v>
      </c>
      <c r="B113" t="s">
        <v>139</v>
      </c>
      <c r="C113" t="s">
        <v>228</v>
      </c>
      <c r="D113" t="s">
        <v>172</v>
      </c>
      <c r="E113" t="s">
        <v>341</v>
      </c>
      <c r="F113" t="e">
        <f t="shared" ca="1" si="2"/>
        <v>#NAME?</v>
      </c>
      <c r="G113" t="s">
        <v>491</v>
      </c>
      <c r="H113" t="s">
        <v>752</v>
      </c>
      <c r="I113">
        <v>540</v>
      </c>
      <c r="J113" t="s">
        <v>932</v>
      </c>
    </row>
    <row r="114" spans="1:14" x14ac:dyDescent="0.25">
      <c r="A114" t="s">
        <v>44</v>
      </c>
      <c r="B114" t="s">
        <v>139</v>
      </c>
      <c r="C114" t="s">
        <v>229</v>
      </c>
      <c r="D114" t="s">
        <v>195</v>
      </c>
      <c r="E114" t="s">
        <v>341</v>
      </c>
      <c r="F114" t="e">
        <f t="shared" ca="1" si="2"/>
        <v>#NAME?</v>
      </c>
      <c r="G114" t="s">
        <v>492</v>
      </c>
      <c r="H114" t="s">
        <v>753</v>
      </c>
      <c r="I114">
        <v>516</v>
      </c>
      <c r="J114" t="s">
        <v>932</v>
      </c>
    </row>
    <row r="115" spans="1:14" x14ac:dyDescent="0.25">
      <c r="A115" t="s">
        <v>45</v>
      </c>
      <c r="B115" t="s">
        <v>140</v>
      </c>
      <c r="C115" t="s">
        <v>24</v>
      </c>
      <c r="D115" t="s">
        <v>119</v>
      </c>
      <c r="E115" t="s">
        <v>338</v>
      </c>
      <c r="F115" t="e">
        <f t="shared" ca="1" si="2"/>
        <v>#NAME?</v>
      </c>
      <c r="G115" t="s">
        <v>493</v>
      </c>
      <c r="H115" t="s">
        <v>754</v>
      </c>
      <c r="I115">
        <v>654</v>
      </c>
      <c r="J115" t="s">
        <v>932</v>
      </c>
    </row>
    <row r="116" spans="1:14" x14ac:dyDescent="0.25">
      <c r="A116" t="s">
        <v>45</v>
      </c>
      <c r="B116" t="s">
        <v>140</v>
      </c>
      <c r="C116" t="s">
        <v>24</v>
      </c>
      <c r="D116" t="s">
        <v>119</v>
      </c>
      <c r="E116" t="s">
        <v>341</v>
      </c>
      <c r="F116" t="e">
        <f t="shared" ca="1" si="2"/>
        <v>#NAME?</v>
      </c>
      <c r="G116" t="s">
        <v>494</v>
      </c>
      <c r="H116" t="s">
        <v>496</v>
      </c>
      <c r="I116">
        <v>630</v>
      </c>
      <c r="J116" t="s">
        <v>932</v>
      </c>
    </row>
    <row r="117" spans="1:14" x14ac:dyDescent="0.25">
      <c r="A117" t="s">
        <v>45</v>
      </c>
      <c r="B117" t="s">
        <v>140</v>
      </c>
      <c r="C117" t="s">
        <v>24</v>
      </c>
      <c r="D117" t="s">
        <v>119</v>
      </c>
      <c r="E117" t="s">
        <v>348</v>
      </c>
      <c r="F117" t="e">
        <f t="shared" ca="1" si="2"/>
        <v>#NAME?</v>
      </c>
      <c r="G117" t="s">
        <v>495</v>
      </c>
      <c r="H117" t="s">
        <v>755</v>
      </c>
      <c r="I117">
        <v>638</v>
      </c>
      <c r="J117" t="s">
        <v>932</v>
      </c>
      <c r="M117" s="1">
        <v>45135</v>
      </c>
      <c r="N117" s="1">
        <v>45168</v>
      </c>
    </row>
    <row r="118" spans="1:14" x14ac:dyDescent="0.25">
      <c r="A118" t="s">
        <v>45</v>
      </c>
      <c r="B118" t="s">
        <v>140</v>
      </c>
      <c r="C118" t="s">
        <v>24</v>
      </c>
      <c r="D118" t="s">
        <v>119</v>
      </c>
      <c r="E118" t="s">
        <v>341</v>
      </c>
      <c r="F118" t="e">
        <f t="shared" ca="1" si="2"/>
        <v>#NAME?</v>
      </c>
      <c r="G118" t="s">
        <v>496</v>
      </c>
      <c r="H118" t="s">
        <v>756</v>
      </c>
      <c r="I118">
        <v>632</v>
      </c>
      <c r="J118" t="s">
        <v>932</v>
      </c>
    </row>
    <row r="119" spans="1:14" x14ac:dyDescent="0.25">
      <c r="A119" t="s">
        <v>45</v>
      </c>
      <c r="B119" t="s">
        <v>140</v>
      </c>
      <c r="C119" t="s">
        <v>24</v>
      </c>
      <c r="D119" t="s">
        <v>119</v>
      </c>
      <c r="E119" t="s">
        <v>341</v>
      </c>
      <c r="F119" t="e">
        <f t="shared" ca="1" si="2"/>
        <v>#NAME?</v>
      </c>
      <c r="G119" t="s">
        <v>497</v>
      </c>
      <c r="H119" t="s">
        <v>542</v>
      </c>
      <c r="I119">
        <v>634</v>
      </c>
      <c r="J119" t="s">
        <v>932</v>
      </c>
    </row>
    <row r="120" spans="1:14" x14ac:dyDescent="0.25">
      <c r="A120" t="s">
        <v>45</v>
      </c>
      <c r="B120" t="s">
        <v>140</v>
      </c>
      <c r="C120" t="s">
        <v>24</v>
      </c>
      <c r="D120" t="s">
        <v>119</v>
      </c>
      <c r="E120" t="s">
        <v>341</v>
      </c>
      <c r="F120" t="e">
        <f t="shared" ca="1" si="2"/>
        <v>#NAME?</v>
      </c>
      <c r="G120" t="s">
        <v>498</v>
      </c>
      <c r="H120" t="s">
        <v>757</v>
      </c>
      <c r="I120">
        <v>636</v>
      </c>
      <c r="J120" t="s">
        <v>932</v>
      </c>
    </row>
    <row r="121" spans="1:14" x14ac:dyDescent="0.25">
      <c r="A121" t="s">
        <v>45</v>
      </c>
      <c r="B121" t="s">
        <v>140</v>
      </c>
      <c r="C121" t="s">
        <v>24</v>
      </c>
      <c r="D121" t="s">
        <v>119</v>
      </c>
      <c r="E121" t="s">
        <v>341</v>
      </c>
      <c r="F121" t="e">
        <f t="shared" ca="1" si="2"/>
        <v>#NAME?</v>
      </c>
      <c r="G121" t="s">
        <v>499</v>
      </c>
      <c r="H121" t="s">
        <v>758</v>
      </c>
      <c r="I121">
        <v>640</v>
      </c>
      <c r="J121" t="s">
        <v>932</v>
      </c>
    </row>
    <row r="122" spans="1:14" x14ac:dyDescent="0.25">
      <c r="A122" t="s">
        <v>45</v>
      </c>
      <c r="B122" t="s">
        <v>140</v>
      </c>
      <c r="C122" t="s">
        <v>24</v>
      </c>
      <c r="D122" t="s">
        <v>119</v>
      </c>
      <c r="E122" t="s">
        <v>341</v>
      </c>
      <c r="F122" t="e">
        <f t="shared" ca="1" si="2"/>
        <v>#NAME?</v>
      </c>
      <c r="G122" t="s">
        <v>500</v>
      </c>
      <c r="H122" t="s">
        <v>759</v>
      </c>
      <c r="I122">
        <v>642</v>
      </c>
      <c r="J122" t="s">
        <v>932</v>
      </c>
    </row>
    <row r="123" spans="1:14" x14ac:dyDescent="0.25">
      <c r="A123" t="s">
        <v>45</v>
      </c>
      <c r="B123" t="s">
        <v>140</v>
      </c>
      <c r="C123" t="s">
        <v>24</v>
      </c>
      <c r="D123" t="s">
        <v>119</v>
      </c>
      <c r="E123" t="s">
        <v>341</v>
      </c>
      <c r="F123" t="e">
        <f t="shared" ca="1" si="2"/>
        <v>#NAME?</v>
      </c>
      <c r="G123" t="s">
        <v>501</v>
      </c>
      <c r="H123" t="s">
        <v>502</v>
      </c>
      <c r="I123">
        <v>646</v>
      </c>
      <c r="J123" t="s">
        <v>932</v>
      </c>
    </row>
    <row r="124" spans="1:14" x14ac:dyDescent="0.25">
      <c r="A124" t="s">
        <v>45</v>
      </c>
      <c r="B124" t="s">
        <v>140</v>
      </c>
      <c r="C124" t="s">
        <v>24</v>
      </c>
      <c r="D124" t="s">
        <v>119</v>
      </c>
      <c r="E124" t="s">
        <v>347</v>
      </c>
      <c r="F124" t="e">
        <f t="shared" ca="1" si="2"/>
        <v>#NAME?</v>
      </c>
      <c r="G124" t="s">
        <v>502</v>
      </c>
      <c r="H124" t="s">
        <v>503</v>
      </c>
      <c r="I124">
        <v>648</v>
      </c>
      <c r="J124" t="s">
        <v>932</v>
      </c>
      <c r="K124" s="1">
        <v>45130</v>
      </c>
      <c r="L124" s="1">
        <v>45168</v>
      </c>
    </row>
    <row r="125" spans="1:14" x14ac:dyDescent="0.25">
      <c r="A125" t="s">
        <v>45</v>
      </c>
      <c r="B125" t="s">
        <v>140</v>
      </c>
      <c r="C125" t="s">
        <v>24</v>
      </c>
      <c r="D125" t="s">
        <v>119</v>
      </c>
      <c r="E125" t="s">
        <v>341</v>
      </c>
      <c r="F125" t="e">
        <f t="shared" ca="1" si="2"/>
        <v>#NAME?</v>
      </c>
      <c r="G125" t="s">
        <v>503</v>
      </c>
      <c r="H125" t="s">
        <v>504</v>
      </c>
      <c r="I125">
        <v>650</v>
      </c>
      <c r="J125" t="s">
        <v>932</v>
      </c>
    </row>
    <row r="126" spans="1:14" x14ac:dyDescent="0.25">
      <c r="A126" t="s">
        <v>45</v>
      </c>
      <c r="B126" t="s">
        <v>140</v>
      </c>
      <c r="C126" t="s">
        <v>24</v>
      </c>
      <c r="D126" t="s">
        <v>119</v>
      </c>
      <c r="E126" t="s">
        <v>347</v>
      </c>
      <c r="F126" t="e">
        <f t="shared" ca="1" si="2"/>
        <v>#NAME?</v>
      </c>
      <c r="G126" t="s">
        <v>504</v>
      </c>
      <c r="H126" t="s">
        <v>482</v>
      </c>
      <c r="I126">
        <v>652</v>
      </c>
      <c r="J126" t="s">
        <v>932</v>
      </c>
      <c r="K126" s="1">
        <v>45130</v>
      </c>
      <c r="L126" s="1">
        <v>45168</v>
      </c>
    </row>
    <row r="127" spans="1:14" x14ac:dyDescent="0.25">
      <c r="A127" t="s">
        <v>45</v>
      </c>
      <c r="B127" t="s">
        <v>140</v>
      </c>
      <c r="C127" t="s">
        <v>24</v>
      </c>
      <c r="D127" t="s">
        <v>119</v>
      </c>
      <c r="E127" t="s">
        <v>341</v>
      </c>
      <c r="F127" t="e">
        <f t="shared" ca="1" si="2"/>
        <v>#NAME?</v>
      </c>
      <c r="G127" t="s">
        <v>482</v>
      </c>
      <c r="H127" t="s">
        <v>760</v>
      </c>
      <c r="I127">
        <v>656</v>
      </c>
      <c r="J127" t="s">
        <v>932</v>
      </c>
    </row>
    <row r="128" spans="1:14" x14ac:dyDescent="0.25">
      <c r="A128" t="s">
        <v>45</v>
      </c>
      <c r="B128" t="s">
        <v>140</v>
      </c>
      <c r="C128" t="s">
        <v>24</v>
      </c>
      <c r="D128" t="s">
        <v>119</v>
      </c>
      <c r="E128" t="s">
        <v>341</v>
      </c>
      <c r="F128" t="e">
        <f t="shared" ca="1" si="2"/>
        <v>#NAME?</v>
      </c>
      <c r="G128" t="s">
        <v>505</v>
      </c>
      <c r="H128" t="s">
        <v>761</v>
      </c>
      <c r="I128">
        <v>658</v>
      </c>
      <c r="J128" t="s">
        <v>932</v>
      </c>
    </row>
    <row r="129" spans="1:18" x14ac:dyDescent="0.25">
      <c r="A129" t="s">
        <v>45</v>
      </c>
      <c r="B129" t="s">
        <v>140</v>
      </c>
      <c r="C129" t="s">
        <v>230</v>
      </c>
      <c r="D129" t="s">
        <v>133</v>
      </c>
      <c r="E129" t="s">
        <v>365</v>
      </c>
      <c r="F129" t="e">
        <f t="shared" ca="1" si="2"/>
        <v>#NAME?</v>
      </c>
      <c r="G129" t="s">
        <v>506</v>
      </c>
      <c r="H129" t="s">
        <v>762</v>
      </c>
      <c r="I129">
        <v>66</v>
      </c>
      <c r="J129" t="s">
        <v>932</v>
      </c>
      <c r="K129" s="1">
        <v>45142</v>
      </c>
      <c r="L129" s="1">
        <v>45174</v>
      </c>
    </row>
    <row r="130" spans="1:18" x14ac:dyDescent="0.25">
      <c r="A130" t="s">
        <v>45</v>
      </c>
      <c r="B130" t="s">
        <v>140</v>
      </c>
      <c r="C130" t="s">
        <v>230</v>
      </c>
      <c r="D130" t="s">
        <v>133</v>
      </c>
      <c r="E130" t="s">
        <v>366</v>
      </c>
      <c r="F130" t="e">
        <f t="shared" ca="1" si="2"/>
        <v>#NAME?</v>
      </c>
      <c r="G130" t="s">
        <v>506</v>
      </c>
      <c r="H130" t="s">
        <v>762</v>
      </c>
      <c r="I130">
        <v>66</v>
      </c>
      <c r="J130" t="s">
        <v>932</v>
      </c>
      <c r="M130" s="1">
        <v>45140</v>
      </c>
      <c r="N130" s="1">
        <v>45176</v>
      </c>
    </row>
    <row r="131" spans="1:18" x14ac:dyDescent="0.25">
      <c r="A131" t="s">
        <v>45</v>
      </c>
      <c r="B131" t="s">
        <v>140</v>
      </c>
      <c r="C131" t="s">
        <v>41</v>
      </c>
      <c r="D131" t="s">
        <v>324</v>
      </c>
      <c r="E131" t="s">
        <v>362</v>
      </c>
      <c r="F131" t="e">
        <f t="shared" ref="F131:F194" ca="1" si="3">ConvertToOAG(E131)</f>
        <v>#NAME?</v>
      </c>
      <c r="G131" t="s">
        <v>506</v>
      </c>
      <c r="H131">
        <v>8500</v>
      </c>
      <c r="I131">
        <v>66</v>
      </c>
      <c r="J131" t="s">
        <v>932</v>
      </c>
      <c r="R131" t="s">
        <v>1157</v>
      </c>
    </row>
    <row r="132" spans="1:18" x14ac:dyDescent="0.25">
      <c r="A132" t="s">
        <v>45</v>
      </c>
      <c r="B132" t="s">
        <v>140</v>
      </c>
      <c r="C132" t="s">
        <v>57</v>
      </c>
      <c r="D132" t="s">
        <v>152</v>
      </c>
      <c r="E132" t="s">
        <v>345</v>
      </c>
      <c r="F132" t="e">
        <f t="shared" ca="1" si="3"/>
        <v>#NAME?</v>
      </c>
      <c r="G132" t="s">
        <v>506</v>
      </c>
      <c r="H132" t="s">
        <v>763</v>
      </c>
      <c r="I132">
        <v>66</v>
      </c>
      <c r="J132" t="s">
        <v>932</v>
      </c>
      <c r="K132" s="1">
        <v>45110</v>
      </c>
      <c r="L132" s="1">
        <v>45138</v>
      </c>
    </row>
    <row r="133" spans="1:18" x14ac:dyDescent="0.25">
      <c r="A133" t="s">
        <v>45</v>
      </c>
      <c r="B133" t="s">
        <v>140</v>
      </c>
      <c r="C133" t="s">
        <v>57</v>
      </c>
      <c r="D133" t="s">
        <v>152</v>
      </c>
      <c r="E133" t="s">
        <v>364</v>
      </c>
      <c r="F133" t="e">
        <f t="shared" ca="1" si="3"/>
        <v>#NAME?</v>
      </c>
      <c r="G133" t="s">
        <v>506</v>
      </c>
      <c r="H133" t="s">
        <v>763</v>
      </c>
      <c r="I133">
        <v>66</v>
      </c>
      <c r="J133" t="s">
        <v>932</v>
      </c>
      <c r="M133" s="1">
        <v>45109</v>
      </c>
      <c r="N133" s="1">
        <v>45140</v>
      </c>
    </row>
    <row r="134" spans="1:18" x14ac:dyDescent="0.25">
      <c r="A134" t="s">
        <v>45</v>
      </c>
      <c r="B134" t="s">
        <v>140</v>
      </c>
      <c r="C134" t="s">
        <v>211</v>
      </c>
      <c r="D134" t="s">
        <v>154</v>
      </c>
      <c r="E134" t="s">
        <v>341</v>
      </c>
      <c r="F134" t="e">
        <f t="shared" ca="1" si="3"/>
        <v>#NAME?</v>
      </c>
      <c r="G134" t="s">
        <v>492</v>
      </c>
      <c r="H134" t="s">
        <v>764</v>
      </c>
      <c r="I134">
        <v>121</v>
      </c>
      <c r="J134" t="s">
        <v>932</v>
      </c>
    </row>
    <row r="135" spans="1:18" x14ac:dyDescent="0.25">
      <c r="A135" t="s">
        <v>45</v>
      </c>
      <c r="B135" t="s">
        <v>140</v>
      </c>
      <c r="C135" t="s">
        <v>211</v>
      </c>
      <c r="D135" t="s">
        <v>154</v>
      </c>
      <c r="E135" t="s">
        <v>341</v>
      </c>
      <c r="F135" t="e">
        <f t="shared" ca="1" si="3"/>
        <v>#NAME?</v>
      </c>
      <c r="G135" t="s">
        <v>490</v>
      </c>
      <c r="H135" t="s">
        <v>536</v>
      </c>
      <c r="I135">
        <v>103</v>
      </c>
      <c r="J135" t="s">
        <v>932</v>
      </c>
      <c r="K135" s="1">
        <v>45076</v>
      </c>
    </row>
    <row r="136" spans="1:18" x14ac:dyDescent="0.25">
      <c r="A136" t="s">
        <v>45</v>
      </c>
      <c r="B136" t="s">
        <v>140</v>
      </c>
      <c r="C136" t="s">
        <v>227</v>
      </c>
      <c r="D136" t="s">
        <v>168</v>
      </c>
      <c r="E136" t="s">
        <v>341</v>
      </c>
      <c r="F136" t="e">
        <f t="shared" ca="1" si="3"/>
        <v>#NAME?</v>
      </c>
      <c r="G136" t="s">
        <v>507</v>
      </c>
      <c r="H136" t="s">
        <v>508</v>
      </c>
      <c r="I136">
        <v>67</v>
      </c>
      <c r="J136" t="s">
        <v>932</v>
      </c>
    </row>
    <row r="137" spans="1:18" x14ac:dyDescent="0.25">
      <c r="A137" t="s">
        <v>45</v>
      </c>
      <c r="B137" t="s">
        <v>140</v>
      </c>
      <c r="C137" t="s">
        <v>227</v>
      </c>
      <c r="D137" t="s">
        <v>168</v>
      </c>
      <c r="E137" t="s">
        <v>341</v>
      </c>
      <c r="F137" t="e">
        <f t="shared" ca="1" si="3"/>
        <v>#NAME?</v>
      </c>
      <c r="G137" t="s">
        <v>508</v>
      </c>
      <c r="H137" t="s">
        <v>521</v>
      </c>
      <c r="I137">
        <v>73</v>
      </c>
      <c r="J137" t="s">
        <v>932</v>
      </c>
    </row>
    <row r="138" spans="1:18" x14ac:dyDescent="0.25">
      <c r="A138" t="s">
        <v>45</v>
      </c>
      <c r="B138" t="s">
        <v>140</v>
      </c>
      <c r="C138" t="s">
        <v>227</v>
      </c>
      <c r="D138" t="s">
        <v>168</v>
      </c>
      <c r="E138" t="s">
        <v>341</v>
      </c>
      <c r="F138" t="e">
        <f t="shared" ca="1" si="3"/>
        <v>#NAME?</v>
      </c>
      <c r="G138" t="s">
        <v>490</v>
      </c>
      <c r="H138" t="s">
        <v>765</v>
      </c>
      <c r="I138">
        <v>103</v>
      </c>
      <c r="J138" t="s">
        <v>932</v>
      </c>
      <c r="K138" s="1">
        <v>45076</v>
      </c>
    </row>
    <row r="139" spans="1:18" x14ac:dyDescent="0.25">
      <c r="A139" t="s">
        <v>46</v>
      </c>
      <c r="B139" t="s">
        <v>141</v>
      </c>
      <c r="C139" t="s">
        <v>227</v>
      </c>
      <c r="D139" t="s">
        <v>168</v>
      </c>
      <c r="E139" t="s">
        <v>341</v>
      </c>
      <c r="F139" t="e">
        <f t="shared" ca="1" si="3"/>
        <v>#NAME?</v>
      </c>
      <c r="G139" t="s">
        <v>509</v>
      </c>
      <c r="H139" t="s">
        <v>766</v>
      </c>
      <c r="I139">
        <v>208</v>
      </c>
      <c r="J139" t="s">
        <v>932</v>
      </c>
      <c r="K139" s="1">
        <v>45078</v>
      </c>
    </row>
    <row r="140" spans="1:18" x14ac:dyDescent="0.25">
      <c r="A140" t="s">
        <v>47</v>
      </c>
      <c r="B140" t="s">
        <v>142</v>
      </c>
      <c r="C140" t="s">
        <v>231</v>
      </c>
      <c r="D140" t="s">
        <v>150</v>
      </c>
      <c r="E140" t="s">
        <v>341</v>
      </c>
      <c r="F140" t="e">
        <f t="shared" ca="1" si="3"/>
        <v>#NAME?</v>
      </c>
      <c r="G140" t="s">
        <v>510</v>
      </c>
      <c r="H140" t="s">
        <v>540</v>
      </c>
      <c r="I140">
        <v>90</v>
      </c>
      <c r="J140" t="s">
        <v>932</v>
      </c>
    </row>
    <row r="141" spans="1:18" x14ac:dyDescent="0.25">
      <c r="A141" t="s">
        <v>47</v>
      </c>
      <c r="B141" t="s">
        <v>142</v>
      </c>
      <c r="C141" t="s">
        <v>227</v>
      </c>
      <c r="D141" t="s">
        <v>168</v>
      </c>
      <c r="E141" t="s">
        <v>341</v>
      </c>
      <c r="F141" t="e">
        <f t="shared" ca="1" si="3"/>
        <v>#NAME?</v>
      </c>
      <c r="G141" t="s">
        <v>511</v>
      </c>
      <c r="H141" t="s">
        <v>767</v>
      </c>
      <c r="I141">
        <v>95</v>
      </c>
      <c r="J141" t="s">
        <v>932</v>
      </c>
    </row>
    <row r="142" spans="1:18" x14ac:dyDescent="0.25">
      <c r="A142" t="s">
        <v>47</v>
      </c>
      <c r="B142" t="s">
        <v>142</v>
      </c>
      <c r="C142" t="s">
        <v>232</v>
      </c>
      <c r="D142" t="s">
        <v>203</v>
      </c>
      <c r="E142" t="s">
        <v>341</v>
      </c>
      <c r="F142" t="e">
        <f t="shared" ca="1" si="3"/>
        <v>#NAME?</v>
      </c>
      <c r="G142" t="s">
        <v>511</v>
      </c>
      <c r="H142" t="s">
        <v>553</v>
      </c>
      <c r="I142">
        <v>91</v>
      </c>
      <c r="J142" t="s">
        <v>932</v>
      </c>
      <c r="O142" t="s">
        <v>944</v>
      </c>
    </row>
    <row r="143" spans="1:18" x14ac:dyDescent="0.25">
      <c r="A143" t="s">
        <v>48</v>
      </c>
      <c r="B143" t="s">
        <v>143</v>
      </c>
      <c r="C143" t="s">
        <v>233</v>
      </c>
      <c r="D143" t="s">
        <v>159</v>
      </c>
      <c r="E143" t="s">
        <v>341</v>
      </c>
      <c r="F143" t="e">
        <f t="shared" ca="1" si="3"/>
        <v>#NAME?</v>
      </c>
      <c r="G143" t="s">
        <v>512</v>
      </c>
      <c r="H143" t="s">
        <v>768</v>
      </c>
      <c r="I143">
        <v>21</v>
      </c>
      <c r="J143" t="s">
        <v>932</v>
      </c>
    </row>
    <row r="144" spans="1:18" x14ac:dyDescent="0.25">
      <c r="A144" t="s">
        <v>48</v>
      </c>
      <c r="B144" t="s">
        <v>143</v>
      </c>
      <c r="C144" t="s">
        <v>222</v>
      </c>
      <c r="D144" t="s">
        <v>160</v>
      </c>
      <c r="E144" t="s">
        <v>341</v>
      </c>
      <c r="F144" t="e">
        <f t="shared" ca="1" si="3"/>
        <v>#NAME?</v>
      </c>
      <c r="G144" t="s">
        <v>507</v>
      </c>
      <c r="H144" t="s">
        <v>769</v>
      </c>
      <c r="I144">
        <v>404</v>
      </c>
      <c r="J144" t="s">
        <v>932</v>
      </c>
    </row>
    <row r="145" spans="1:14" x14ac:dyDescent="0.25">
      <c r="A145" t="s">
        <v>49</v>
      </c>
      <c r="B145" t="s">
        <v>144</v>
      </c>
      <c r="C145" t="s">
        <v>234</v>
      </c>
      <c r="D145" t="s">
        <v>119</v>
      </c>
      <c r="E145" t="s">
        <v>338</v>
      </c>
      <c r="F145" t="e">
        <f t="shared" ca="1" si="3"/>
        <v>#NAME?</v>
      </c>
      <c r="G145" t="s">
        <v>487</v>
      </c>
      <c r="H145" t="s">
        <v>519</v>
      </c>
      <c r="I145">
        <v>600</v>
      </c>
      <c r="J145" t="s">
        <v>932</v>
      </c>
      <c r="M145" s="1">
        <v>45128</v>
      </c>
      <c r="N145" s="1">
        <v>45168</v>
      </c>
    </row>
    <row r="146" spans="1:14" x14ac:dyDescent="0.25">
      <c r="A146" t="s">
        <v>49</v>
      </c>
      <c r="B146" t="s">
        <v>144</v>
      </c>
      <c r="C146" t="s">
        <v>234</v>
      </c>
      <c r="D146" t="s">
        <v>119</v>
      </c>
      <c r="E146" t="s">
        <v>341</v>
      </c>
      <c r="F146" t="e">
        <f t="shared" ca="1" si="3"/>
        <v>#NAME?</v>
      </c>
      <c r="G146" t="s">
        <v>507</v>
      </c>
      <c r="H146" t="s">
        <v>539</v>
      </c>
      <c r="I146">
        <v>602</v>
      </c>
      <c r="J146" t="s">
        <v>932</v>
      </c>
    </row>
    <row r="147" spans="1:14" x14ac:dyDescent="0.25">
      <c r="A147" t="s">
        <v>49</v>
      </c>
      <c r="B147" t="s">
        <v>144</v>
      </c>
      <c r="C147" t="s">
        <v>234</v>
      </c>
      <c r="D147" t="s">
        <v>119</v>
      </c>
      <c r="E147" t="s">
        <v>341</v>
      </c>
      <c r="F147" t="e">
        <f t="shared" ca="1" si="3"/>
        <v>#NAME?</v>
      </c>
      <c r="G147" t="s">
        <v>513</v>
      </c>
      <c r="H147" t="s">
        <v>551</v>
      </c>
      <c r="I147">
        <v>606</v>
      </c>
      <c r="J147" t="s">
        <v>932</v>
      </c>
    </row>
    <row r="148" spans="1:14" x14ac:dyDescent="0.25">
      <c r="A148" t="s">
        <v>49</v>
      </c>
      <c r="B148" t="s">
        <v>144</v>
      </c>
      <c r="C148" t="s">
        <v>234</v>
      </c>
      <c r="D148" t="s">
        <v>119</v>
      </c>
      <c r="E148" t="s">
        <v>341</v>
      </c>
      <c r="F148" t="e">
        <f t="shared" ca="1" si="3"/>
        <v>#NAME?</v>
      </c>
      <c r="G148" t="s">
        <v>508</v>
      </c>
      <c r="H148" t="s">
        <v>492</v>
      </c>
      <c r="I148">
        <v>102</v>
      </c>
      <c r="J148" t="s">
        <v>932</v>
      </c>
    </row>
    <row r="149" spans="1:14" x14ac:dyDescent="0.25">
      <c r="A149" t="s">
        <v>49</v>
      </c>
      <c r="B149" t="s">
        <v>144</v>
      </c>
      <c r="C149" t="s">
        <v>234</v>
      </c>
      <c r="D149" t="s">
        <v>119</v>
      </c>
      <c r="E149" t="s">
        <v>341</v>
      </c>
      <c r="F149" t="e">
        <f t="shared" ca="1" si="3"/>
        <v>#NAME?</v>
      </c>
      <c r="G149" t="s">
        <v>514</v>
      </c>
      <c r="H149" t="s">
        <v>770</v>
      </c>
      <c r="I149">
        <v>610</v>
      </c>
      <c r="J149" t="s">
        <v>932</v>
      </c>
    </row>
    <row r="150" spans="1:14" x14ac:dyDescent="0.25">
      <c r="A150" t="s">
        <v>49</v>
      </c>
      <c r="B150" t="s">
        <v>144</v>
      </c>
      <c r="C150" t="s">
        <v>234</v>
      </c>
      <c r="D150" t="s">
        <v>119</v>
      </c>
      <c r="E150" t="s">
        <v>341</v>
      </c>
      <c r="F150" t="e">
        <f t="shared" ca="1" si="3"/>
        <v>#NAME?</v>
      </c>
      <c r="G150" t="s">
        <v>515</v>
      </c>
      <c r="H150" t="s">
        <v>771</v>
      </c>
      <c r="I150">
        <v>612</v>
      </c>
      <c r="J150" t="s">
        <v>932</v>
      </c>
    </row>
    <row r="151" spans="1:14" x14ac:dyDescent="0.25">
      <c r="A151" t="s">
        <v>49</v>
      </c>
      <c r="B151" t="s">
        <v>144</v>
      </c>
      <c r="C151" t="s">
        <v>234</v>
      </c>
      <c r="D151" t="s">
        <v>119</v>
      </c>
      <c r="E151" t="s">
        <v>341</v>
      </c>
      <c r="F151" t="e">
        <f t="shared" ca="1" si="3"/>
        <v>#NAME?</v>
      </c>
      <c r="G151" t="s">
        <v>516</v>
      </c>
      <c r="H151" t="s">
        <v>772</v>
      </c>
      <c r="I151">
        <v>614</v>
      </c>
      <c r="J151" t="s">
        <v>932</v>
      </c>
    </row>
    <row r="152" spans="1:14" x14ac:dyDescent="0.25">
      <c r="A152" t="s">
        <v>49</v>
      </c>
      <c r="B152" t="s">
        <v>144</v>
      </c>
      <c r="C152" t="s">
        <v>234</v>
      </c>
      <c r="D152" t="s">
        <v>119</v>
      </c>
      <c r="E152" t="s">
        <v>347</v>
      </c>
      <c r="F152" t="e">
        <f t="shared" ca="1" si="3"/>
        <v>#NAME?</v>
      </c>
      <c r="G152" t="s">
        <v>517</v>
      </c>
      <c r="H152" t="s">
        <v>773</v>
      </c>
      <c r="I152">
        <v>616</v>
      </c>
      <c r="J152" t="s">
        <v>932</v>
      </c>
    </row>
    <row r="153" spans="1:14" x14ac:dyDescent="0.25">
      <c r="A153" t="s">
        <v>49</v>
      </c>
      <c r="B153" t="s">
        <v>144</v>
      </c>
      <c r="C153" t="s">
        <v>235</v>
      </c>
      <c r="D153" t="s">
        <v>154</v>
      </c>
      <c r="E153" t="s">
        <v>341</v>
      </c>
      <c r="F153" t="e">
        <f t="shared" ca="1" si="3"/>
        <v>#NAME?</v>
      </c>
      <c r="G153" t="s">
        <v>491</v>
      </c>
      <c r="H153" t="s">
        <v>575</v>
      </c>
      <c r="I153">
        <v>101</v>
      </c>
      <c r="J153" t="s">
        <v>932</v>
      </c>
    </row>
    <row r="154" spans="1:14" x14ac:dyDescent="0.25">
      <c r="A154" t="s">
        <v>49</v>
      </c>
      <c r="B154" t="s">
        <v>144</v>
      </c>
      <c r="C154" t="s">
        <v>235</v>
      </c>
      <c r="D154" t="s">
        <v>154</v>
      </c>
      <c r="E154" t="s">
        <v>341</v>
      </c>
      <c r="F154" t="e">
        <f t="shared" ca="1" si="3"/>
        <v>#NAME?</v>
      </c>
      <c r="G154" t="s">
        <v>518</v>
      </c>
      <c r="H154" t="s">
        <v>499</v>
      </c>
      <c r="I154">
        <v>1</v>
      </c>
      <c r="J154" t="s">
        <v>932</v>
      </c>
      <c r="K154" s="1">
        <v>45076</v>
      </c>
    </row>
    <row r="155" spans="1:14" x14ac:dyDescent="0.25">
      <c r="A155" t="s">
        <v>50</v>
      </c>
      <c r="B155" t="s">
        <v>145</v>
      </c>
      <c r="C155" t="s">
        <v>227</v>
      </c>
      <c r="D155" t="s">
        <v>168</v>
      </c>
      <c r="E155" t="s">
        <v>341</v>
      </c>
      <c r="F155" t="e">
        <f t="shared" ca="1" si="3"/>
        <v>#NAME?</v>
      </c>
      <c r="G155" t="s">
        <v>519</v>
      </c>
      <c r="H155" t="s">
        <v>507</v>
      </c>
      <c r="I155">
        <v>948</v>
      </c>
      <c r="J155" t="s">
        <v>932</v>
      </c>
    </row>
    <row r="156" spans="1:14" x14ac:dyDescent="0.25">
      <c r="A156" t="s">
        <v>50</v>
      </c>
      <c r="B156" t="s">
        <v>145</v>
      </c>
      <c r="C156" t="s">
        <v>227</v>
      </c>
      <c r="D156" t="s">
        <v>168</v>
      </c>
      <c r="E156" t="s">
        <v>341</v>
      </c>
      <c r="F156" t="e">
        <f t="shared" ca="1" si="3"/>
        <v>#NAME?</v>
      </c>
      <c r="G156" t="s">
        <v>520</v>
      </c>
      <c r="H156" t="s">
        <v>492</v>
      </c>
      <c r="I156">
        <v>914</v>
      </c>
      <c r="J156" t="s">
        <v>932</v>
      </c>
    </row>
    <row r="157" spans="1:14" x14ac:dyDescent="0.25">
      <c r="A157" t="s">
        <v>50</v>
      </c>
      <c r="B157" t="s">
        <v>145</v>
      </c>
      <c r="C157" t="s">
        <v>227</v>
      </c>
      <c r="D157" t="s">
        <v>168</v>
      </c>
      <c r="E157" t="s">
        <v>341</v>
      </c>
      <c r="F157" t="e">
        <f t="shared" ca="1" si="3"/>
        <v>#NAME?</v>
      </c>
      <c r="G157" t="s">
        <v>521</v>
      </c>
      <c r="H157" t="s">
        <v>515</v>
      </c>
      <c r="I157">
        <v>916</v>
      </c>
      <c r="J157" t="s">
        <v>932</v>
      </c>
    </row>
    <row r="158" spans="1:14" x14ac:dyDescent="0.25">
      <c r="A158" t="s">
        <v>51</v>
      </c>
      <c r="B158" t="s">
        <v>146</v>
      </c>
      <c r="C158" t="s">
        <v>224</v>
      </c>
      <c r="D158" t="s">
        <v>186</v>
      </c>
      <c r="E158" t="s">
        <v>341</v>
      </c>
      <c r="F158" t="e">
        <f t="shared" ca="1" si="3"/>
        <v>#NAME?</v>
      </c>
      <c r="G158" t="s">
        <v>522</v>
      </c>
      <c r="H158" t="s">
        <v>497</v>
      </c>
      <c r="I158">
        <v>6</v>
      </c>
      <c r="J158" t="s">
        <v>932</v>
      </c>
    </row>
    <row r="159" spans="1:14" x14ac:dyDescent="0.25">
      <c r="A159" t="s">
        <v>51</v>
      </c>
      <c r="B159" t="s">
        <v>146</v>
      </c>
      <c r="C159" t="s">
        <v>236</v>
      </c>
      <c r="D159" t="s">
        <v>190</v>
      </c>
      <c r="E159" t="s">
        <v>341</v>
      </c>
      <c r="F159" t="e">
        <f t="shared" ca="1" si="3"/>
        <v>#NAME?</v>
      </c>
      <c r="G159" t="s">
        <v>523</v>
      </c>
      <c r="H159" t="s">
        <v>774</v>
      </c>
      <c r="I159">
        <v>9</v>
      </c>
      <c r="J159" t="s">
        <v>932</v>
      </c>
    </row>
    <row r="160" spans="1:14" x14ac:dyDescent="0.25">
      <c r="A160" t="s">
        <v>51</v>
      </c>
      <c r="B160" t="s">
        <v>146</v>
      </c>
      <c r="C160" t="s">
        <v>237</v>
      </c>
      <c r="D160" t="s">
        <v>196</v>
      </c>
      <c r="E160" t="s">
        <v>341</v>
      </c>
      <c r="F160" t="e">
        <f t="shared" ca="1" si="3"/>
        <v>#NAME?</v>
      </c>
      <c r="G160" t="s">
        <v>524</v>
      </c>
      <c r="H160" t="s">
        <v>775</v>
      </c>
      <c r="I160">
        <v>22</v>
      </c>
      <c r="J160" t="s">
        <v>932</v>
      </c>
    </row>
    <row r="161" spans="1:10" x14ac:dyDescent="0.25">
      <c r="A161" t="s">
        <v>52</v>
      </c>
      <c r="B161" t="s">
        <v>147</v>
      </c>
      <c r="C161" t="s">
        <v>238</v>
      </c>
      <c r="D161" t="s">
        <v>155</v>
      </c>
      <c r="E161" t="s">
        <v>341</v>
      </c>
      <c r="F161" t="e">
        <f t="shared" ca="1" si="3"/>
        <v>#NAME?</v>
      </c>
      <c r="G161" t="s">
        <v>525</v>
      </c>
      <c r="H161" t="s">
        <v>776</v>
      </c>
      <c r="I161">
        <v>812</v>
      </c>
      <c r="J161" t="s">
        <v>932</v>
      </c>
    </row>
    <row r="162" spans="1:10" x14ac:dyDescent="0.25">
      <c r="A162" t="s">
        <v>52</v>
      </c>
      <c r="B162" t="s">
        <v>147</v>
      </c>
      <c r="C162" t="s">
        <v>239</v>
      </c>
      <c r="D162" t="s">
        <v>326</v>
      </c>
      <c r="E162" t="s">
        <v>340</v>
      </c>
      <c r="F162" t="e">
        <f t="shared" ca="1" si="3"/>
        <v>#NAME?</v>
      </c>
      <c r="G162" t="s">
        <v>498</v>
      </c>
      <c r="H162" t="s">
        <v>777</v>
      </c>
      <c r="I162">
        <v>9</v>
      </c>
      <c r="J162" t="s">
        <v>932</v>
      </c>
    </row>
    <row r="163" spans="1:10" x14ac:dyDescent="0.25">
      <c r="A163" t="s">
        <v>52</v>
      </c>
      <c r="B163" t="s">
        <v>147</v>
      </c>
      <c r="C163" t="s">
        <v>224</v>
      </c>
      <c r="D163" t="s">
        <v>186</v>
      </c>
      <c r="E163" t="s">
        <v>341</v>
      </c>
      <c r="F163" t="e">
        <f t="shared" ca="1" si="3"/>
        <v>#NAME?</v>
      </c>
      <c r="G163" t="s">
        <v>526</v>
      </c>
      <c r="H163" t="s">
        <v>778</v>
      </c>
      <c r="I163">
        <v>6</v>
      </c>
      <c r="J163" t="s">
        <v>932</v>
      </c>
    </row>
    <row r="164" spans="1:10" x14ac:dyDescent="0.25">
      <c r="A164" t="s">
        <v>52</v>
      </c>
      <c r="B164" t="s">
        <v>147</v>
      </c>
      <c r="C164" t="s">
        <v>240</v>
      </c>
      <c r="D164" t="s">
        <v>192</v>
      </c>
      <c r="E164" t="s">
        <v>367</v>
      </c>
      <c r="F164" t="e">
        <f t="shared" ca="1" si="3"/>
        <v>#NAME?</v>
      </c>
      <c r="G164" t="s">
        <v>527</v>
      </c>
      <c r="H164" t="s">
        <v>779</v>
      </c>
      <c r="I164">
        <v>917</v>
      </c>
      <c r="J164" t="s">
        <v>932</v>
      </c>
    </row>
    <row r="165" spans="1:10" x14ac:dyDescent="0.25">
      <c r="A165" t="s">
        <v>52</v>
      </c>
      <c r="B165" t="s">
        <v>147</v>
      </c>
      <c r="C165" t="s">
        <v>237</v>
      </c>
      <c r="D165" t="s">
        <v>196</v>
      </c>
      <c r="E165" t="s">
        <v>341</v>
      </c>
      <c r="F165" t="e">
        <f t="shared" ca="1" si="3"/>
        <v>#NAME?</v>
      </c>
      <c r="G165" t="s">
        <v>518</v>
      </c>
      <c r="H165" t="s">
        <v>780</v>
      </c>
      <c r="I165">
        <v>7</v>
      </c>
      <c r="J165" t="s">
        <v>932</v>
      </c>
    </row>
    <row r="166" spans="1:10" x14ac:dyDescent="0.25">
      <c r="A166" t="s">
        <v>53</v>
      </c>
      <c r="B166" t="s">
        <v>148</v>
      </c>
      <c r="C166" t="s">
        <v>238</v>
      </c>
      <c r="D166" t="s">
        <v>155</v>
      </c>
      <c r="E166" t="s">
        <v>341</v>
      </c>
      <c r="F166" t="e">
        <f t="shared" ca="1" si="3"/>
        <v>#NAME?</v>
      </c>
      <c r="G166" t="s">
        <v>528</v>
      </c>
      <c r="H166" t="s">
        <v>781</v>
      </c>
      <c r="I166">
        <v>715</v>
      </c>
      <c r="J166" t="s">
        <v>932</v>
      </c>
    </row>
    <row r="167" spans="1:10" x14ac:dyDescent="0.25">
      <c r="A167" t="s">
        <v>53</v>
      </c>
      <c r="B167" t="s">
        <v>148</v>
      </c>
      <c r="C167" t="s">
        <v>233</v>
      </c>
      <c r="D167" t="s">
        <v>159</v>
      </c>
      <c r="E167" t="s">
        <v>341</v>
      </c>
      <c r="F167" t="e">
        <f t="shared" ca="1" si="3"/>
        <v>#NAME?</v>
      </c>
      <c r="G167" t="s">
        <v>529</v>
      </c>
      <c r="H167" t="s">
        <v>782</v>
      </c>
      <c r="I167">
        <v>51</v>
      </c>
      <c r="J167" t="s">
        <v>932</v>
      </c>
    </row>
    <row r="168" spans="1:10" x14ac:dyDescent="0.25">
      <c r="A168" t="s">
        <v>53</v>
      </c>
      <c r="B168" t="s">
        <v>148</v>
      </c>
      <c r="C168" t="s">
        <v>222</v>
      </c>
      <c r="D168" t="s">
        <v>160</v>
      </c>
      <c r="E168" t="s">
        <v>341</v>
      </c>
      <c r="F168" t="e">
        <f t="shared" ca="1" si="3"/>
        <v>#NAME?</v>
      </c>
      <c r="G168" t="s">
        <v>497</v>
      </c>
      <c r="H168" t="s">
        <v>520</v>
      </c>
      <c r="I168">
        <v>409</v>
      </c>
      <c r="J168" t="s">
        <v>932</v>
      </c>
    </row>
    <row r="169" spans="1:10" x14ac:dyDescent="0.25">
      <c r="A169" t="s">
        <v>53</v>
      </c>
      <c r="B169" t="s">
        <v>148</v>
      </c>
      <c r="C169" t="s">
        <v>222</v>
      </c>
      <c r="D169" t="s">
        <v>160</v>
      </c>
      <c r="E169" t="s">
        <v>341</v>
      </c>
      <c r="F169" t="e">
        <f t="shared" ca="1" si="3"/>
        <v>#NAME?</v>
      </c>
      <c r="G169" t="s">
        <v>530</v>
      </c>
      <c r="H169" t="s">
        <v>783</v>
      </c>
      <c r="I169">
        <v>722</v>
      </c>
      <c r="J169" t="s">
        <v>932</v>
      </c>
    </row>
    <row r="170" spans="1:10" x14ac:dyDescent="0.25">
      <c r="A170" t="s">
        <v>53</v>
      </c>
      <c r="B170" t="s">
        <v>148</v>
      </c>
      <c r="C170" t="s">
        <v>241</v>
      </c>
      <c r="D170" t="s">
        <v>166</v>
      </c>
      <c r="E170" t="s">
        <v>341</v>
      </c>
      <c r="F170" t="e">
        <f t="shared" ca="1" si="3"/>
        <v>#NAME?</v>
      </c>
      <c r="G170" t="s">
        <v>531</v>
      </c>
      <c r="H170" t="s">
        <v>528</v>
      </c>
      <c r="I170">
        <v>12</v>
      </c>
      <c r="J170" t="s">
        <v>932</v>
      </c>
    </row>
    <row r="171" spans="1:10" x14ac:dyDescent="0.25">
      <c r="A171" t="s">
        <v>53</v>
      </c>
      <c r="B171" t="s">
        <v>148</v>
      </c>
      <c r="C171" t="s">
        <v>227</v>
      </c>
      <c r="D171" t="s">
        <v>168</v>
      </c>
      <c r="E171" t="s">
        <v>341</v>
      </c>
      <c r="F171" t="e">
        <f t="shared" ca="1" si="3"/>
        <v>#NAME?</v>
      </c>
      <c r="G171" t="s">
        <v>522</v>
      </c>
      <c r="H171" t="s">
        <v>557</v>
      </c>
      <c r="I171">
        <v>52</v>
      </c>
      <c r="J171" t="s">
        <v>932</v>
      </c>
    </row>
    <row r="172" spans="1:10" x14ac:dyDescent="0.25">
      <c r="A172" t="s">
        <v>53</v>
      </c>
      <c r="B172" t="s">
        <v>148</v>
      </c>
      <c r="C172" t="s">
        <v>227</v>
      </c>
      <c r="D172" t="s">
        <v>168</v>
      </c>
      <c r="E172" t="s">
        <v>341</v>
      </c>
      <c r="F172" t="e">
        <f t="shared" ca="1" si="3"/>
        <v>#NAME?</v>
      </c>
      <c r="G172" t="s">
        <v>532</v>
      </c>
      <c r="H172" t="s">
        <v>784</v>
      </c>
      <c r="I172">
        <v>24</v>
      </c>
      <c r="J172" t="s">
        <v>932</v>
      </c>
    </row>
    <row r="173" spans="1:10" x14ac:dyDescent="0.25">
      <c r="A173" t="s">
        <v>53</v>
      </c>
      <c r="B173" t="s">
        <v>148</v>
      </c>
      <c r="C173" t="s">
        <v>224</v>
      </c>
      <c r="D173" t="s">
        <v>186</v>
      </c>
      <c r="E173" t="s">
        <v>341</v>
      </c>
      <c r="F173" t="e">
        <f t="shared" ca="1" si="3"/>
        <v>#NAME?</v>
      </c>
      <c r="G173" t="s">
        <v>491</v>
      </c>
      <c r="H173" t="s">
        <v>750</v>
      </c>
      <c r="I173">
        <v>11</v>
      </c>
      <c r="J173" t="s">
        <v>932</v>
      </c>
    </row>
    <row r="174" spans="1:10" x14ac:dyDescent="0.25">
      <c r="A174" t="s">
        <v>54</v>
      </c>
      <c r="B174" t="s">
        <v>149</v>
      </c>
      <c r="C174" t="s">
        <v>242</v>
      </c>
      <c r="D174" t="s">
        <v>134</v>
      </c>
      <c r="E174" t="s">
        <v>341</v>
      </c>
      <c r="F174" t="e">
        <f t="shared" ca="1" si="3"/>
        <v>#NAME?</v>
      </c>
      <c r="G174" t="s">
        <v>508</v>
      </c>
      <c r="H174" t="s">
        <v>785</v>
      </c>
      <c r="I174">
        <v>554</v>
      </c>
      <c r="J174" t="s">
        <v>932</v>
      </c>
    </row>
    <row r="175" spans="1:10" x14ac:dyDescent="0.25">
      <c r="A175" t="s">
        <v>54</v>
      </c>
      <c r="B175" t="s">
        <v>149</v>
      </c>
      <c r="C175" t="s">
        <v>227</v>
      </c>
      <c r="D175" t="s">
        <v>168</v>
      </c>
      <c r="E175" t="s">
        <v>341</v>
      </c>
      <c r="F175" t="e">
        <f t="shared" ca="1" si="3"/>
        <v>#NAME?</v>
      </c>
      <c r="G175" t="s">
        <v>508</v>
      </c>
      <c r="H175" t="s">
        <v>746</v>
      </c>
      <c r="I175">
        <v>554</v>
      </c>
      <c r="J175" t="s">
        <v>932</v>
      </c>
    </row>
    <row r="176" spans="1:10" x14ac:dyDescent="0.25">
      <c r="A176" t="s">
        <v>55</v>
      </c>
      <c r="B176" t="s">
        <v>150</v>
      </c>
      <c r="C176" t="s">
        <v>243</v>
      </c>
      <c r="D176" t="s">
        <v>327</v>
      </c>
      <c r="E176" t="s">
        <v>341</v>
      </c>
      <c r="F176" t="e">
        <f t="shared" ca="1" si="3"/>
        <v>#NAME?</v>
      </c>
      <c r="G176" t="s">
        <v>483</v>
      </c>
      <c r="H176" t="s">
        <v>786</v>
      </c>
      <c r="I176">
        <v>91</v>
      </c>
      <c r="J176" t="s">
        <v>932</v>
      </c>
    </row>
    <row r="177" spans="1:15" x14ac:dyDescent="0.25">
      <c r="A177" t="s">
        <v>56</v>
      </c>
      <c r="B177" t="s">
        <v>151</v>
      </c>
      <c r="C177" t="s">
        <v>244</v>
      </c>
      <c r="D177" t="s">
        <v>161</v>
      </c>
      <c r="E177" t="s">
        <v>368</v>
      </c>
      <c r="F177" t="e">
        <f t="shared" ca="1" si="3"/>
        <v>#NAME?</v>
      </c>
      <c r="G177" t="s">
        <v>533</v>
      </c>
      <c r="H177" t="s">
        <v>787</v>
      </c>
      <c r="I177">
        <v>737</v>
      </c>
      <c r="J177" t="s">
        <v>932</v>
      </c>
      <c r="K177" s="1">
        <v>45082</v>
      </c>
      <c r="O177" t="s">
        <v>944</v>
      </c>
    </row>
    <row r="178" spans="1:15" x14ac:dyDescent="0.25">
      <c r="A178" t="s">
        <v>56</v>
      </c>
      <c r="B178" t="s">
        <v>151</v>
      </c>
      <c r="C178" t="s">
        <v>244</v>
      </c>
      <c r="D178" t="s">
        <v>161</v>
      </c>
      <c r="E178" t="s">
        <v>352</v>
      </c>
      <c r="F178" t="e">
        <f t="shared" ca="1" si="3"/>
        <v>#NAME?</v>
      </c>
      <c r="G178" t="s">
        <v>533</v>
      </c>
      <c r="H178" t="s">
        <v>787</v>
      </c>
      <c r="I178">
        <v>111</v>
      </c>
      <c r="J178" t="s">
        <v>932</v>
      </c>
      <c r="L178" t="s">
        <v>936</v>
      </c>
      <c r="O178" t="s">
        <v>944</v>
      </c>
    </row>
    <row r="179" spans="1:15" x14ac:dyDescent="0.25">
      <c r="A179" t="s">
        <v>57</v>
      </c>
      <c r="B179" t="s">
        <v>152</v>
      </c>
      <c r="C179" t="s">
        <v>245</v>
      </c>
      <c r="D179" t="s">
        <v>328</v>
      </c>
      <c r="E179" t="s">
        <v>341</v>
      </c>
      <c r="F179" t="e">
        <f t="shared" ca="1" si="3"/>
        <v>#NAME?</v>
      </c>
      <c r="G179" t="s">
        <v>534</v>
      </c>
      <c r="H179" t="s">
        <v>788</v>
      </c>
      <c r="I179">
        <v>538</v>
      </c>
      <c r="J179" t="s">
        <v>932</v>
      </c>
    </row>
    <row r="180" spans="1:15" x14ac:dyDescent="0.25">
      <c r="A180" t="s">
        <v>57</v>
      </c>
      <c r="B180" t="s">
        <v>152</v>
      </c>
      <c r="C180" t="s">
        <v>230</v>
      </c>
      <c r="D180" t="s">
        <v>133</v>
      </c>
      <c r="E180" t="s">
        <v>358</v>
      </c>
      <c r="F180" t="e">
        <f t="shared" ca="1" si="3"/>
        <v>#NAME?</v>
      </c>
      <c r="G180" t="s">
        <v>535</v>
      </c>
      <c r="H180" t="s">
        <v>789</v>
      </c>
      <c r="I180">
        <v>66</v>
      </c>
      <c r="J180" t="s">
        <v>932</v>
      </c>
      <c r="K180" s="1">
        <v>45111</v>
      </c>
      <c r="L180" s="1">
        <v>45139</v>
      </c>
    </row>
    <row r="181" spans="1:15" x14ac:dyDescent="0.25">
      <c r="A181" t="s">
        <v>57</v>
      </c>
      <c r="B181" t="s">
        <v>152</v>
      </c>
      <c r="C181" t="s">
        <v>230</v>
      </c>
      <c r="D181" t="s">
        <v>133</v>
      </c>
      <c r="E181" t="s">
        <v>369</v>
      </c>
      <c r="F181" t="e">
        <f t="shared" ca="1" si="3"/>
        <v>#NAME?</v>
      </c>
      <c r="G181" t="s">
        <v>535</v>
      </c>
      <c r="H181" t="s">
        <v>789</v>
      </c>
      <c r="I181">
        <v>66</v>
      </c>
      <c r="J181" t="s">
        <v>932</v>
      </c>
      <c r="M181" s="1">
        <v>45110</v>
      </c>
      <c r="N181" s="1">
        <v>45141</v>
      </c>
    </row>
    <row r="182" spans="1:15" x14ac:dyDescent="0.25">
      <c r="A182" t="s">
        <v>58</v>
      </c>
      <c r="B182" t="s">
        <v>153</v>
      </c>
      <c r="C182" t="s">
        <v>246</v>
      </c>
      <c r="D182" t="s">
        <v>140</v>
      </c>
      <c r="E182" t="s">
        <v>359</v>
      </c>
      <c r="F182" t="e">
        <f t="shared" ca="1" si="3"/>
        <v>#NAME?</v>
      </c>
      <c r="G182" t="s">
        <v>536</v>
      </c>
      <c r="H182" t="s">
        <v>544</v>
      </c>
      <c r="I182">
        <v>73</v>
      </c>
      <c r="J182" t="s">
        <v>932</v>
      </c>
      <c r="K182" s="1">
        <v>45146</v>
      </c>
      <c r="O182" t="s">
        <v>952</v>
      </c>
    </row>
    <row r="183" spans="1:15" x14ac:dyDescent="0.25">
      <c r="A183" t="s">
        <v>58</v>
      </c>
      <c r="B183" t="s">
        <v>153</v>
      </c>
      <c r="C183" t="s">
        <v>246</v>
      </c>
      <c r="D183" t="s">
        <v>140</v>
      </c>
      <c r="E183" t="s">
        <v>360</v>
      </c>
      <c r="F183" t="e">
        <f t="shared" ca="1" si="3"/>
        <v>#NAME?</v>
      </c>
      <c r="G183" t="s">
        <v>536</v>
      </c>
      <c r="H183" t="s">
        <v>544</v>
      </c>
      <c r="I183">
        <v>73</v>
      </c>
      <c r="J183" t="s">
        <v>932</v>
      </c>
      <c r="L183" t="s">
        <v>937</v>
      </c>
    </row>
    <row r="184" spans="1:15" x14ac:dyDescent="0.25">
      <c r="A184" t="s">
        <v>58</v>
      </c>
      <c r="B184" t="s">
        <v>153</v>
      </c>
      <c r="C184" t="s">
        <v>244</v>
      </c>
      <c r="D184" t="s">
        <v>161</v>
      </c>
      <c r="E184" t="s">
        <v>370</v>
      </c>
      <c r="F184" t="e">
        <f t="shared" ca="1" si="3"/>
        <v>#NAME?</v>
      </c>
      <c r="G184" t="s">
        <v>517</v>
      </c>
      <c r="H184" t="s">
        <v>790</v>
      </c>
      <c r="I184">
        <v>189</v>
      </c>
      <c r="J184" t="s">
        <v>932</v>
      </c>
    </row>
    <row r="185" spans="1:15" x14ac:dyDescent="0.25">
      <c r="A185" t="s">
        <v>58</v>
      </c>
      <c r="B185" t="s">
        <v>153</v>
      </c>
      <c r="C185" t="s">
        <v>247</v>
      </c>
      <c r="D185" t="s">
        <v>329</v>
      </c>
      <c r="E185" t="s">
        <v>356</v>
      </c>
      <c r="F185" t="e">
        <f t="shared" ca="1" si="3"/>
        <v>#NAME?</v>
      </c>
      <c r="G185" t="s">
        <v>537</v>
      </c>
      <c r="H185" t="s">
        <v>791</v>
      </c>
      <c r="I185">
        <v>188</v>
      </c>
      <c r="J185" t="s">
        <v>932</v>
      </c>
    </row>
    <row r="186" spans="1:15" x14ac:dyDescent="0.25">
      <c r="A186" t="s">
        <v>59</v>
      </c>
      <c r="B186" t="s">
        <v>154</v>
      </c>
      <c r="C186" t="s">
        <v>248</v>
      </c>
      <c r="D186" t="s">
        <v>122</v>
      </c>
      <c r="E186" t="s">
        <v>341</v>
      </c>
      <c r="F186" t="e">
        <f t="shared" ca="1" si="3"/>
        <v>#NAME?</v>
      </c>
      <c r="G186" t="s">
        <v>538</v>
      </c>
      <c r="H186" t="s">
        <v>769</v>
      </c>
      <c r="I186">
        <v>106</v>
      </c>
      <c r="J186" t="s">
        <v>932</v>
      </c>
      <c r="O186" t="s">
        <v>953</v>
      </c>
    </row>
    <row r="187" spans="1:15" x14ac:dyDescent="0.25">
      <c r="A187" t="s">
        <v>59</v>
      </c>
      <c r="B187" t="s">
        <v>154</v>
      </c>
      <c r="C187" t="s">
        <v>246</v>
      </c>
      <c r="D187" t="s">
        <v>140</v>
      </c>
      <c r="E187" t="s">
        <v>343</v>
      </c>
      <c r="F187" t="e">
        <f t="shared" ca="1" si="3"/>
        <v>#NAME?</v>
      </c>
      <c r="G187" t="s">
        <v>539</v>
      </c>
      <c r="H187" t="s">
        <v>544</v>
      </c>
      <c r="I187">
        <v>98</v>
      </c>
      <c r="J187" t="s">
        <v>932</v>
      </c>
      <c r="L187" t="s">
        <v>938</v>
      </c>
    </row>
    <row r="188" spans="1:15" x14ac:dyDescent="0.25">
      <c r="A188" t="s">
        <v>59</v>
      </c>
      <c r="B188" t="s">
        <v>154</v>
      </c>
      <c r="C188" t="s">
        <v>246</v>
      </c>
      <c r="D188" t="s">
        <v>140</v>
      </c>
      <c r="E188" t="s">
        <v>341</v>
      </c>
      <c r="F188" t="e">
        <f t="shared" ca="1" si="3"/>
        <v>#NAME?</v>
      </c>
      <c r="G188" t="s">
        <v>539</v>
      </c>
      <c r="H188" t="s">
        <v>544</v>
      </c>
      <c r="I188">
        <v>120</v>
      </c>
      <c r="J188" t="s">
        <v>932</v>
      </c>
      <c r="K188" s="1">
        <v>45077</v>
      </c>
    </row>
    <row r="189" spans="1:15" x14ac:dyDescent="0.25">
      <c r="A189" t="s">
        <v>59</v>
      </c>
      <c r="B189" t="s">
        <v>154</v>
      </c>
      <c r="C189" t="s">
        <v>238</v>
      </c>
      <c r="D189" t="s">
        <v>155</v>
      </c>
      <c r="E189" t="s">
        <v>341</v>
      </c>
      <c r="F189" t="e">
        <f t="shared" ca="1" si="3"/>
        <v>#NAME?</v>
      </c>
      <c r="G189" t="s">
        <v>540</v>
      </c>
      <c r="H189" t="s">
        <v>772</v>
      </c>
      <c r="I189">
        <v>121</v>
      </c>
      <c r="J189" t="s">
        <v>932</v>
      </c>
      <c r="K189" s="1">
        <v>45076</v>
      </c>
    </row>
    <row r="190" spans="1:15" x14ac:dyDescent="0.25">
      <c r="A190" t="s">
        <v>59</v>
      </c>
      <c r="B190" t="s">
        <v>154</v>
      </c>
      <c r="C190" t="s">
        <v>238</v>
      </c>
      <c r="D190" t="s">
        <v>155</v>
      </c>
      <c r="E190" t="s">
        <v>371</v>
      </c>
      <c r="F190" t="e">
        <f t="shared" ca="1" si="3"/>
        <v>#NAME?</v>
      </c>
      <c r="G190" t="s">
        <v>540</v>
      </c>
      <c r="H190" t="s">
        <v>772</v>
      </c>
      <c r="I190">
        <v>121</v>
      </c>
      <c r="J190" t="s">
        <v>932</v>
      </c>
      <c r="L190" t="s">
        <v>939</v>
      </c>
    </row>
    <row r="191" spans="1:15" x14ac:dyDescent="0.25">
      <c r="A191" t="s">
        <v>59</v>
      </c>
      <c r="B191" t="s">
        <v>154</v>
      </c>
      <c r="C191" t="s">
        <v>222</v>
      </c>
      <c r="D191" t="s">
        <v>160</v>
      </c>
      <c r="E191" t="s">
        <v>341</v>
      </c>
      <c r="F191" t="e">
        <f t="shared" ca="1" si="3"/>
        <v>#NAME?</v>
      </c>
      <c r="G191" t="s">
        <v>541</v>
      </c>
      <c r="H191" t="s">
        <v>792</v>
      </c>
      <c r="I191">
        <v>99</v>
      </c>
      <c r="J191" t="s">
        <v>932</v>
      </c>
      <c r="K191" s="1">
        <v>30801</v>
      </c>
    </row>
    <row r="192" spans="1:15" x14ac:dyDescent="0.25">
      <c r="A192" t="s">
        <v>59</v>
      </c>
      <c r="B192" t="s">
        <v>154</v>
      </c>
      <c r="C192" t="s">
        <v>249</v>
      </c>
      <c r="D192" t="s">
        <v>168</v>
      </c>
      <c r="E192" t="s">
        <v>341</v>
      </c>
      <c r="F192" t="e">
        <f t="shared" ca="1" si="3"/>
        <v>#NAME?</v>
      </c>
      <c r="G192" t="s">
        <v>542</v>
      </c>
      <c r="H192" t="s">
        <v>547</v>
      </c>
      <c r="I192">
        <v>101</v>
      </c>
      <c r="J192" t="s">
        <v>932</v>
      </c>
      <c r="K192" s="1">
        <v>30801</v>
      </c>
    </row>
    <row r="193" spans="1:12" x14ac:dyDescent="0.25">
      <c r="A193" t="s">
        <v>59</v>
      </c>
      <c r="B193" t="s">
        <v>154</v>
      </c>
      <c r="C193" t="s">
        <v>249</v>
      </c>
      <c r="D193" t="s">
        <v>168</v>
      </c>
      <c r="E193" t="s">
        <v>341</v>
      </c>
      <c r="F193" t="e">
        <f t="shared" ca="1" si="3"/>
        <v>#NAME?</v>
      </c>
      <c r="G193" t="s">
        <v>492</v>
      </c>
      <c r="H193" t="s">
        <v>515</v>
      </c>
      <c r="I193">
        <v>1</v>
      </c>
      <c r="J193" t="s">
        <v>932</v>
      </c>
      <c r="K193" s="1">
        <v>30801</v>
      </c>
    </row>
    <row r="194" spans="1:12" x14ac:dyDescent="0.25">
      <c r="A194" t="s">
        <v>59</v>
      </c>
      <c r="B194" t="s">
        <v>154</v>
      </c>
      <c r="C194" t="s">
        <v>249</v>
      </c>
      <c r="D194" t="s">
        <v>168</v>
      </c>
      <c r="E194" t="s">
        <v>341</v>
      </c>
      <c r="F194" t="e">
        <f t="shared" ca="1" si="3"/>
        <v>#NAME?</v>
      </c>
      <c r="G194" t="s">
        <v>543</v>
      </c>
      <c r="H194" t="s">
        <v>765</v>
      </c>
      <c r="I194">
        <v>103</v>
      </c>
      <c r="J194" t="s">
        <v>932</v>
      </c>
      <c r="K194" s="1">
        <v>30801</v>
      </c>
    </row>
    <row r="195" spans="1:12" x14ac:dyDescent="0.25">
      <c r="A195" t="s">
        <v>59</v>
      </c>
      <c r="B195" t="s">
        <v>154</v>
      </c>
      <c r="C195" t="s">
        <v>224</v>
      </c>
      <c r="D195" t="s">
        <v>186</v>
      </c>
      <c r="E195" t="s">
        <v>341</v>
      </c>
      <c r="F195" t="e">
        <f t="shared" ref="F195:F258" ca="1" si="4">ConvertToOAG(E195)</f>
        <v>#NAME?</v>
      </c>
      <c r="G195" t="s">
        <v>522</v>
      </c>
      <c r="H195" t="s">
        <v>554</v>
      </c>
      <c r="I195">
        <v>125</v>
      </c>
      <c r="J195" t="s">
        <v>932</v>
      </c>
      <c r="K195" s="1">
        <v>45076</v>
      </c>
    </row>
    <row r="196" spans="1:12" x14ac:dyDescent="0.25">
      <c r="A196" t="s">
        <v>59</v>
      </c>
      <c r="B196" t="s">
        <v>154</v>
      </c>
      <c r="C196" t="s">
        <v>224</v>
      </c>
      <c r="D196" t="s">
        <v>186</v>
      </c>
      <c r="E196" t="s">
        <v>372</v>
      </c>
      <c r="F196" t="e">
        <f t="shared" ca="1" si="4"/>
        <v>#NAME?</v>
      </c>
      <c r="G196" t="s">
        <v>522</v>
      </c>
      <c r="H196" t="s">
        <v>554</v>
      </c>
      <c r="I196">
        <v>125</v>
      </c>
      <c r="J196" t="s">
        <v>932</v>
      </c>
      <c r="L196" t="s">
        <v>939</v>
      </c>
    </row>
    <row r="197" spans="1:12" x14ac:dyDescent="0.25">
      <c r="A197" t="s">
        <v>59</v>
      </c>
      <c r="B197" t="s">
        <v>154</v>
      </c>
      <c r="C197" t="s">
        <v>224</v>
      </c>
      <c r="D197" t="s">
        <v>186</v>
      </c>
      <c r="E197" t="s">
        <v>343</v>
      </c>
      <c r="F197" t="e">
        <f t="shared" ca="1" si="4"/>
        <v>#NAME?</v>
      </c>
      <c r="G197" t="s">
        <v>540</v>
      </c>
      <c r="H197" t="s">
        <v>543</v>
      </c>
      <c r="I197">
        <v>121</v>
      </c>
      <c r="J197" t="s">
        <v>932</v>
      </c>
      <c r="L197" t="s">
        <v>940</v>
      </c>
    </row>
    <row r="198" spans="1:12" x14ac:dyDescent="0.25">
      <c r="A198" t="s">
        <v>59</v>
      </c>
      <c r="B198" t="s">
        <v>154</v>
      </c>
      <c r="C198" t="s">
        <v>250</v>
      </c>
      <c r="D198" t="s">
        <v>187</v>
      </c>
      <c r="E198" t="s">
        <v>353</v>
      </c>
      <c r="F198" t="e">
        <f t="shared" ca="1" si="4"/>
        <v>#NAME?</v>
      </c>
      <c r="G198" t="s">
        <v>544</v>
      </c>
      <c r="H198" t="s">
        <v>522</v>
      </c>
      <c r="I198">
        <v>125</v>
      </c>
      <c r="J198" t="s">
        <v>932</v>
      </c>
      <c r="K198" s="1">
        <v>30801</v>
      </c>
      <c r="L198" t="s">
        <v>941</v>
      </c>
    </row>
    <row r="199" spans="1:12" x14ac:dyDescent="0.25">
      <c r="A199" t="s">
        <v>59</v>
      </c>
      <c r="B199" t="s">
        <v>154</v>
      </c>
      <c r="C199" t="s">
        <v>250</v>
      </c>
      <c r="D199" t="s">
        <v>187</v>
      </c>
      <c r="E199" t="s">
        <v>373</v>
      </c>
      <c r="F199" t="e">
        <f t="shared" ca="1" si="4"/>
        <v>#NAME?</v>
      </c>
      <c r="G199" t="s">
        <v>515</v>
      </c>
      <c r="H199" t="s">
        <v>530</v>
      </c>
      <c r="I199">
        <v>123</v>
      </c>
      <c r="J199" t="s">
        <v>932</v>
      </c>
      <c r="K199" s="1">
        <v>45076</v>
      </c>
    </row>
    <row r="200" spans="1:12" x14ac:dyDescent="0.25">
      <c r="A200" t="s">
        <v>60</v>
      </c>
      <c r="B200" t="s">
        <v>155</v>
      </c>
      <c r="C200" t="s">
        <v>251</v>
      </c>
      <c r="D200" t="s">
        <v>147</v>
      </c>
      <c r="E200" t="s">
        <v>341</v>
      </c>
      <c r="F200" t="e">
        <f t="shared" ca="1" si="4"/>
        <v>#NAME?</v>
      </c>
      <c r="G200" t="s">
        <v>545</v>
      </c>
      <c r="H200" t="s">
        <v>793</v>
      </c>
      <c r="I200">
        <v>811</v>
      </c>
      <c r="J200" t="s">
        <v>932</v>
      </c>
      <c r="K200" s="1">
        <v>30801</v>
      </c>
    </row>
    <row r="201" spans="1:12" x14ac:dyDescent="0.25">
      <c r="A201" t="s">
        <v>60</v>
      </c>
      <c r="B201" t="s">
        <v>155</v>
      </c>
      <c r="C201" t="s">
        <v>252</v>
      </c>
      <c r="D201" t="s">
        <v>148</v>
      </c>
      <c r="E201" t="s">
        <v>341</v>
      </c>
      <c r="F201" t="e">
        <f t="shared" ca="1" si="4"/>
        <v>#NAME?</v>
      </c>
      <c r="G201" t="s">
        <v>546</v>
      </c>
      <c r="H201" t="s">
        <v>794</v>
      </c>
      <c r="I201">
        <v>702</v>
      </c>
      <c r="J201" t="s">
        <v>932</v>
      </c>
      <c r="K201" s="1">
        <v>30801</v>
      </c>
    </row>
    <row r="202" spans="1:12" x14ac:dyDescent="0.25">
      <c r="A202" t="s">
        <v>60</v>
      </c>
      <c r="B202" t="s">
        <v>155</v>
      </c>
      <c r="C202" t="s">
        <v>235</v>
      </c>
      <c r="D202" t="s">
        <v>154</v>
      </c>
      <c r="E202" t="s">
        <v>341</v>
      </c>
      <c r="F202" t="e">
        <f t="shared" ca="1" si="4"/>
        <v>#NAME?</v>
      </c>
      <c r="G202" t="s">
        <v>546</v>
      </c>
      <c r="H202" t="s">
        <v>795</v>
      </c>
      <c r="I202">
        <v>720</v>
      </c>
      <c r="J202" t="s">
        <v>932</v>
      </c>
      <c r="K202" s="1">
        <v>45076</v>
      </c>
    </row>
    <row r="203" spans="1:12" x14ac:dyDescent="0.25">
      <c r="A203" t="s">
        <v>60</v>
      </c>
      <c r="B203" t="s">
        <v>155</v>
      </c>
      <c r="C203" t="s">
        <v>235</v>
      </c>
      <c r="D203" t="s">
        <v>154</v>
      </c>
      <c r="E203" t="s">
        <v>374</v>
      </c>
      <c r="F203" t="e">
        <f t="shared" ca="1" si="4"/>
        <v>#NAME?</v>
      </c>
      <c r="G203" t="s">
        <v>546</v>
      </c>
      <c r="H203" t="s">
        <v>795</v>
      </c>
      <c r="I203">
        <v>720</v>
      </c>
      <c r="J203" t="s">
        <v>932</v>
      </c>
      <c r="L203" t="s">
        <v>942</v>
      </c>
    </row>
    <row r="204" spans="1:12" x14ac:dyDescent="0.25">
      <c r="A204" t="s">
        <v>60</v>
      </c>
      <c r="B204" t="s">
        <v>155</v>
      </c>
      <c r="C204" t="s">
        <v>233</v>
      </c>
      <c r="D204" t="s">
        <v>159</v>
      </c>
      <c r="E204" t="s">
        <v>341</v>
      </c>
      <c r="F204" t="e">
        <f t="shared" ca="1" si="4"/>
        <v>#NAME?</v>
      </c>
      <c r="G204" t="s">
        <v>522</v>
      </c>
      <c r="H204" t="s">
        <v>796</v>
      </c>
      <c r="I204">
        <v>22</v>
      </c>
      <c r="J204" t="s">
        <v>932</v>
      </c>
      <c r="K204" s="1">
        <v>30801</v>
      </c>
    </row>
    <row r="205" spans="1:12" x14ac:dyDescent="0.25">
      <c r="A205" t="s">
        <v>60</v>
      </c>
      <c r="B205" t="s">
        <v>155</v>
      </c>
      <c r="C205" t="s">
        <v>222</v>
      </c>
      <c r="D205" t="s">
        <v>160</v>
      </c>
      <c r="E205" t="s">
        <v>341</v>
      </c>
      <c r="F205" t="e">
        <f t="shared" ca="1" si="4"/>
        <v>#NAME?</v>
      </c>
      <c r="G205" t="s">
        <v>547</v>
      </c>
      <c r="H205" t="s">
        <v>797</v>
      </c>
      <c r="I205">
        <v>441</v>
      </c>
      <c r="J205" t="s">
        <v>932</v>
      </c>
      <c r="K205" s="1">
        <v>30801</v>
      </c>
    </row>
    <row r="206" spans="1:12" x14ac:dyDescent="0.25">
      <c r="A206" t="s">
        <v>60</v>
      </c>
      <c r="B206" t="s">
        <v>155</v>
      </c>
      <c r="C206" t="s">
        <v>224</v>
      </c>
      <c r="D206" t="s">
        <v>186</v>
      </c>
      <c r="E206" t="s">
        <v>375</v>
      </c>
      <c r="F206" t="e">
        <f t="shared" ca="1" si="4"/>
        <v>#NAME?</v>
      </c>
      <c r="G206" t="s">
        <v>548</v>
      </c>
      <c r="H206" t="s">
        <v>540</v>
      </c>
      <c r="I206">
        <v>120</v>
      </c>
      <c r="J206" t="s">
        <v>932</v>
      </c>
      <c r="K206" s="1">
        <v>30801</v>
      </c>
      <c r="L206" t="s">
        <v>940</v>
      </c>
    </row>
    <row r="207" spans="1:12" x14ac:dyDescent="0.25">
      <c r="A207" t="s">
        <v>60</v>
      </c>
      <c r="B207" t="s">
        <v>155</v>
      </c>
      <c r="C207" t="s">
        <v>240</v>
      </c>
      <c r="D207" t="s">
        <v>192</v>
      </c>
      <c r="E207" t="s">
        <v>376</v>
      </c>
      <c r="F207" t="e">
        <f t="shared" ca="1" si="4"/>
        <v>#NAME?</v>
      </c>
      <c r="G207" t="s">
        <v>549</v>
      </c>
      <c r="H207" t="s">
        <v>798</v>
      </c>
      <c r="I207">
        <v>676</v>
      </c>
      <c r="J207" t="s">
        <v>932</v>
      </c>
      <c r="K207" s="1">
        <v>30801</v>
      </c>
    </row>
    <row r="208" spans="1:12" x14ac:dyDescent="0.25">
      <c r="A208" t="s">
        <v>60</v>
      </c>
      <c r="B208" t="s">
        <v>155</v>
      </c>
      <c r="C208" t="s">
        <v>237</v>
      </c>
      <c r="D208" t="s">
        <v>196</v>
      </c>
      <c r="E208" t="s">
        <v>341</v>
      </c>
      <c r="F208" t="e">
        <f t="shared" ca="1" si="4"/>
        <v>#NAME?</v>
      </c>
      <c r="G208" t="s">
        <v>518</v>
      </c>
      <c r="H208" t="s">
        <v>799</v>
      </c>
      <c r="I208">
        <v>27</v>
      </c>
      <c r="J208" t="s">
        <v>932</v>
      </c>
      <c r="K208" s="1">
        <v>30801</v>
      </c>
    </row>
    <row r="209" spans="1:18" x14ac:dyDescent="0.25">
      <c r="A209" t="s">
        <v>61</v>
      </c>
      <c r="B209" t="s">
        <v>156</v>
      </c>
      <c r="C209" t="s">
        <v>253</v>
      </c>
      <c r="D209" t="s">
        <v>196</v>
      </c>
      <c r="E209" t="s">
        <v>376</v>
      </c>
      <c r="F209" t="e">
        <f t="shared" ca="1" si="4"/>
        <v>#NAME?</v>
      </c>
      <c r="G209" t="s">
        <v>550</v>
      </c>
      <c r="H209" t="s">
        <v>515</v>
      </c>
      <c r="I209">
        <v>12</v>
      </c>
      <c r="J209" t="s">
        <v>932</v>
      </c>
      <c r="K209" s="1">
        <v>30801</v>
      </c>
    </row>
    <row r="210" spans="1:18" x14ac:dyDescent="0.25">
      <c r="A210" t="s">
        <v>62</v>
      </c>
      <c r="B210" t="s">
        <v>157</v>
      </c>
      <c r="C210" t="s">
        <v>222</v>
      </c>
      <c r="D210" t="s">
        <v>160</v>
      </c>
      <c r="E210" t="s">
        <v>377</v>
      </c>
      <c r="F210" t="e">
        <f t="shared" ca="1" si="4"/>
        <v>#NAME?</v>
      </c>
      <c r="G210" t="s">
        <v>488</v>
      </c>
      <c r="H210" t="s">
        <v>800</v>
      </c>
      <c r="I210">
        <v>410</v>
      </c>
      <c r="J210" t="s">
        <v>932</v>
      </c>
      <c r="K210" s="1">
        <v>30801</v>
      </c>
    </row>
    <row r="211" spans="1:18" x14ac:dyDescent="0.25">
      <c r="A211" t="s">
        <v>63</v>
      </c>
      <c r="B211" t="s">
        <v>158</v>
      </c>
      <c r="C211" t="s">
        <v>254</v>
      </c>
      <c r="D211" t="s">
        <v>114</v>
      </c>
      <c r="E211" t="s">
        <v>342</v>
      </c>
      <c r="F211" t="e">
        <f t="shared" ca="1" si="4"/>
        <v>#NAME?</v>
      </c>
      <c r="G211" t="s">
        <v>551</v>
      </c>
      <c r="H211" t="s">
        <v>503</v>
      </c>
      <c r="I211">
        <v>816</v>
      </c>
      <c r="J211" t="s">
        <v>932</v>
      </c>
      <c r="K211" s="1">
        <v>30801</v>
      </c>
    </row>
    <row r="212" spans="1:18" x14ac:dyDescent="0.25">
      <c r="A212" t="s">
        <v>63</v>
      </c>
      <c r="B212" t="s">
        <v>158</v>
      </c>
      <c r="C212" t="s">
        <v>240</v>
      </c>
      <c r="D212" t="s">
        <v>192</v>
      </c>
      <c r="E212" t="s">
        <v>354</v>
      </c>
      <c r="F212" t="e">
        <f t="shared" ca="1" si="4"/>
        <v>#NAME?</v>
      </c>
      <c r="G212" t="s">
        <v>551</v>
      </c>
      <c r="H212" t="s">
        <v>801</v>
      </c>
      <c r="I212">
        <v>816</v>
      </c>
      <c r="J212" t="s">
        <v>932</v>
      </c>
      <c r="K212" s="1">
        <v>30801</v>
      </c>
      <c r="O212" t="s">
        <v>954</v>
      </c>
    </row>
    <row r="213" spans="1:18" x14ac:dyDescent="0.25">
      <c r="A213" t="s">
        <v>63</v>
      </c>
      <c r="B213" t="s">
        <v>158</v>
      </c>
      <c r="C213" t="s">
        <v>240</v>
      </c>
      <c r="D213" t="s">
        <v>192</v>
      </c>
      <c r="E213" t="s">
        <v>356</v>
      </c>
      <c r="F213" t="e">
        <f t="shared" ca="1" si="4"/>
        <v>#NAME?</v>
      </c>
      <c r="G213" t="s">
        <v>492</v>
      </c>
      <c r="H213" t="s">
        <v>802</v>
      </c>
      <c r="I213">
        <v>812</v>
      </c>
      <c r="J213" t="s">
        <v>932</v>
      </c>
      <c r="K213" s="1">
        <v>30801</v>
      </c>
      <c r="O213" t="s">
        <v>944</v>
      </c>
    </row>
    <row r="214" spans="1:18" x14ac:dyDescent="0.25">
      <c r="A214" t="s">
        <v>64</v>
      </c>
      <c r="B214" t="s">
        <v>159</v>
      </c>
      <c r="C214" t="s">
        <v>255</v>
      </c>
      <c r="D214" t="s">
        <v>143</v>
      </c>
      <c r="E214" t="s">
        <v>341</v>
      </c>
      <c r="F214" t="e">
        <f t="shared" ca="1" si="4"/>
        <v>#NAME?</v>
      </c>
      <c r="G214" t="s">
        <v>552</v>
      </c>
      <c r="H214" t="s">
        <v>803</v>
      </c>
      <c r="I214">
        <v>22</v>
      </c>
      <c r="J214" t="s">
        <v>932</v>
      </c>
    </row>
    <row r="215" spans="1:18" x14ac:dyDescent="0.25">
      <c r="A215" t="s">
        <v>64</v>
      </c>
      <c r="B215" t="s">
        <v>159</v>
      </c>
      <c r="C215" t="s">
        <v>238</v>
      </c>
      <c r="D215" t="s">
        <v>155</v>
      </c>
      <c r="E215" t="s">
        <v>341</v>
      </c>
      <c r="F215" t="e">
        <f t="shared" ca="1" si="4"/>
        <v>#NAME?</v>
      </c>
      <c r="G215" t="s">
        <v>507</v>
      </c>
      <c r="H215" t="s">
        <v>498</v>
      </c>
      <c r="I215">
        <v>21</v>
      </c>
      <c r="J215" t="s">
        <v>932</v>
      </c>
    </row>
    <row r="216" spans="1:18" x14ac:dyDescent="0.25">
      <c r="A216" t="s">
        <v>64</v>
      </c>
      <c r="B216" t="s">
        <v>159</v>
      </c>
      <c r="C216" t="s">
        <v>222</v>
      </c>
      <c r="D216" t="s">
        <v>160</v>
      </c>
      <c r="E216" t="s">
        <v>341</v>
      </c>
      <c r="F216" t="e">
        <f t="shared" ca="1" si="4"/>
        <v>#NAME?</v>
      </c>
      <c r="G216" t="s">
        <v>483</v>
      </c>
      <c r="H216" t="s">
        <v>524</v>
      </c>
      <c r="I216">
        <v>464</v>
      </c>
      <c r="J216" t="s">
        <v>932</v>
      </c>
      <c r="K216" t="s">
        <v>934</v>
      </c>
    </row>
    <row r="217" spans="1:18" x14ac:dyDescent="0.25">
      <c r="A217" t="s">
        <v>64</v>
      </c>
      <c r="B217" t="s">
        <v>159</v>
      </c>
      <c r="C217" t="s">
        <v>222</v>
      </c>
      <c r="D217" t="s">
        <v>160</v>
      </c>
      <c r="E217" t="s">
        <v>341</v>
      </c>
      <c r="F217" t="e">
        <f t="shared" ca="1" si="4"/>
        <v>#NAME?</v>
      </c>
      <c r="G217" t="s">
        <v>553</v>
      </c>
      <c r="H217" t="s">
        <v>785</v>
      </c>
      <c r="I217">
        <v>498</v>
      </c>
      <c r="J217" t="s">
        <v>932</v>
      </c>
      <c r="K217" t="s">
        <v>934</v>
      </c>
    </row>
    <row r="218" spans="1:18" x14ac:dyDescent="0.25">
      <c r="A218" t="s">
        <v>64</v>
      </c>
      <c r="B218" t="s">
        <v>159</v>
      </c>
      <c r="C218" t="s">
        <v>222</v>
      </c>
      <c r="D218" t="s">
        <v>160</v>
      </c>
      <c r="E218" t="s">
        <v>341</v>
      </c>
      <c r="F218" t="e">
        <f t="shared" ca="1" si="4"/>
        <v>#NAME?</v>
      </c>
      <c r="G218" t="s">
        <v>554</v>
      </c>
      <c r="H218" t="s">
        <v>804</v>
      </c>
      <c r="I218">
        <v>468</v>
      </c>
      <c r="J218" t="s">
        <v>932</v>
      </c>
      <c r="K218" t="s">
        <v>934</v>
      </c>
    </row>
    <row r="219" spans="1:18" x14ac:dyDescent="0.25">
      <c r="A219" t="s">
        <v>65</v>
      </c>
      <c r="B219" t="s">
        <v>160</v>
      </c>
      <c r="C219" t="s">
        <v>256</v>
      </c>
      <c r="D219" t="s">
        <v>330</v>
      </c>
      <c r="E219" t="s">
        <v>340</v>
      </c>
      <c r="F219" t="e">
        <f t="shared" ca="1" si="4"/>
        <v>#NAME?</v>
      </c>
      <c r="G219" t="s">
        <v>555</v>
      </c>
      <c r="H219" t="s">
        <v>503</v>
      </c>
      <c r="I219">
        <v>435</v>
      </c>
      <c r="J219" t="s">
        <v>932</v>
      </c>
      <c r="K219" t="s">
        <v>934</v>
      </c>
    </row>
    <row r="220" spans="1:18" x14ac:dyDescent="0.25">
      <c r="A220" t="s">
        <v>65</v>
      </c>
      <c r="B220" t="s">
        <v>160</v>
      </c>
      <c r="C220" t="s">
        <v>257</v>
      </c>
      <c r="D220" t="s">
        <v>113</v>
      </c>
      <c r="E220" t="s">
        <v>341</v>
      </c>
      <c r="F220" t="e">
        <f t="shared" ca="1" si="4"/>
        <v>#NAME?</v>
      </c>
      <c r="G220" t="s">
        <v>525</v>
      </c>
      <c r="H220" t="s">
        <v>805</v>
      </c>
      <c r="I220">
        <v>991</v>
      </c>
      <c r="J220" t="s">
        <v>932</v>
      </c>
      <c r="K220" t="s">
        <v>934</v>
      </c>
    </row>
    <row r="221" spans="1:18" x14ac:dyDescent="0.25">
      <c r="A221" t="s">
        <v>65</v>
      </c>
      <c r="B221" t="s">
        <v>160</v>
      </c>
      <c r="C221" t="s">
        <v>257</v>
      </c>
      <c r="D221" t="s">
        <v>113</v>
      </c>
      <c r="E221" t="s">
        <v>341</v>
      </c>
      <c r="F221" t="e">
        <f t="shared" ca="1" si="4"/>
        <v>#NAME?</v>
      </c>
      <c r="G221" t="s">
        <v>556</v>
      </c>
      <c r="H221" t="s">
        <v>806</v>
      </c>
      <c r="I221">
        <v>995</v>
      </c>
      <c r="J221" t="s">
        <v>932</v>
      </c>
      <c r="K221" t="s">
        <v>934</v>
      </c>
    </row>
    <row r="222" spans="1:18" x14ac:dyDescent="0.25">
      <c r="A222" t="s">
        <v>65</v>
      </c>
      <c r="B222" t="s">
        <v>160</v>
      </c>
      <c r="C222" t="s">
        <v>257</v>
      </c>
      <c r="D222" t="s">
        <v>113</v>
      </c>
      <c r="E222" t="s">
        <v>341</v>
      </c>
      <c r="F222" t="e">
        <f t="shared" ca="1" si="4"/>
        <v>#NAME?</v>
      </c>
      <c r="G222" t="s">
        <v>557</v>
      </c>
      <c r="H222" t="s">
        <v>807</v>
      </c>
      <c r="I222">
        <v>997</v>
      </c>
      <c r="J222" t="s">
        <v>932</v>
      </c>
      <c r="K222" t="s">
        <v>934</v>
      </c>
    </row>
    <row r="223" spans="1:18" x14ac:dyDescent="0.25">
      <c r="A223" t="s">
        <v>65</v>
      </c>
      <c r="B223" t="s">
        <v>160</v>
      </c>
      <c r="C223" t="s">
        <v>258</v>
      </c>
      <c r="D223" t="s">
        <v>117</v>
      </c>
      <c r="E223" t="s">
        <v>345</v>
      </c>
      <c r="F223" t="e">
        <f t="shared" ca="1" si="4"/>
        <v>#NAME?</v>
      </c>
      <c r="G223" t="s">
        <v>492</v>
      </c>
      <c r="H223" t="s">
        <v>808</v>
      </c>
      <c r="I223">
        <v>435</v>
      </c>
      <c r="J223" t="s">
        <v>932</v>
      </c>
      <c r="K223" t="s">
        <v>934</v>
      </c>
    </row>
    <row r="224" spans="1:18" x14ac:dyDescent="0.25">
      <c r="A224" t="s">
        <v>66</v>
      </c>
      <c r="B224" t="s">
        <v>160</v>
      </c>
      <c r="C224" t="s">
        <v>259</v>
      </c>
      <c r="D224" t="s">
        <v>124</v>
      </c>
      <c r="E224" t="s">
        <v>378</v>
      </c>
      <c r="F224" t="e">
        <f t="shared" ca="1" si="4"/>
        <v>#NAME?</v>
      </c>
      <c r="G224" t="s">
        <v>558</v>
      </c>
      <c r="H224" t="s">
        <v>470</v>
      </c>
      <c r="I224">
        <v>1453</v>
      </c>
      <c r="J224" t="s">
        <v>932</v>
      </c>
      <c r="K224" s="1">
        <v>45110</v>
      </c>
      <c r="Q224" t="s">
        <v>1045</v>
      </c>
      <c r="R224" t="s">
        <v>1033</v>
      </c>
    </row>
    <row r="225" spans="1:18" x14ac:dyDescent="0.25">
      <c r="A225" t="s">
        <v>66</v>
      </c>
      <c r="B225" t="s">
        <v>160</v>
      </c>
      <c r="C225" t="s">
        <v>259</v>
      </c>
      <c r="D225" t="s">
        <v>124</v>
      </c>
      <c r="E225" t="s">
        <v>379</v>
      </c>
      <c r="F225" t="e">
        <f t="shared" ca="1" si="4"/>
        <v>#NAME?</v>
      </c>
      <c r="G225" t="s">
        <v>558</v>
      </c>
      <c r="H225" t="s">
        <v>470</v>
      </c>
      <c r="I225">
        <v>455</v>
      </c>
      <c r="J225" t="s">
        <v>932</v>
      </c>
      <c r="L225" s="1">
        <v>45107</v>
      </c>
      <c r="Q225" t="s">
        <v>1045</v>
      </c>
      <c r="R225" t="s">
        <v>1033</v>
      </c>
    </row>
    <row r="226" spans="1:18" x14ac:dyDescent="0.25">
      <c r="A226" t="s">
        <v>66</v>
      </c>
      <c r="B226" t="s">
        <v>160</v>
      </c>
      <c r="C226" t="s">
        <v>31</v>
      </c>
      <c r="D226" t="s">
        <v>126</v>
      </c>
      <c r="E226" t="s">
        <v>341</v>
      </c>
      <c r="F226" t="e">
        <f t="shared" ca="1" si="4"/>
        <v>#NAME?</v>
      </c>
      <c r="G226" t="s">
        <v>408</v>
      </c>
      <c r="H226" t="s">
        <v>809</v>
      </c>
      <c r="I226">
        <v>445</v>
      </c>
      <c r="J226" t="s">
        <v>932</v>
      </c>
      <c r="K226" s="1">
        <v>45135</v>
      </c>
      <c r="L226" s="1">
        <v>45178</v>
      </c>
      <c r="Q226" t="s">
        <v>971</v>
      </c>
      <c r="R226" t="s">
        <v>1088</v>
      </c>
    </row>
    <row r="227" spans="1:18" x14ac:dyDescent="0.25">
      <c r="A227" t="s">
        <v>66</v>
      </c>
      <c r="B227" t="s">
        <v>160</v>
      </c>
      <c r="C227" t="s">
        <v>31</v>
      </c>
      <c r="D227" t="s">
        <v>126</v>
      </c>
      <c r="E227" t="s">
        <v>339</v>
      </c>
      <c r="F227" t="e">
        <f t="shared" ca="1" si="4"/>
        <v>#NAME?</v>
      </c>
      <c r="G227" t="s">
        <v>559</v>
      </c>
      <c r="H227" t="s">
        <v>810</v>
      </c>
      <c r="I227">
        <v>1443</v>
      </c>
      <c r="J227" t="s">
        <v>932</v>
      </c>
      <c r="Q227" t="s">
        <v>1046</v>
      </c>
      <c r="R227" t="s">
        <v>1158</v>
      </c>
    </row>
    <row r="228" spans="1:18" x14ac:dyDescent="0.25">
      <c r="A228" t="s">
        <v>66</v>
      </c>
      <c r="B228" t="s">
        <v>160</v>
      </c>
      <c r="C228" t="s">
        <v>208</v>
      </c>
      <c r="D228" t="s">
        <v>132</v>
      </c>
      <c r="E228" t="s">
        <v>341</v>
      </c>
      <c r="F228" t="e">
        <f t="shared" ca="1" si="4"/>
        <v>#NAME?</v>
      </c>
      <c r="G228" t="s">
        <v>464</v>
      </c>
      <c r="H228" t="s">
        <v>811</v>
      </c>
      <c r="I228">
        <v>575</v>
      </c>
      <c r="J228" t="s">
        <v>932</v>
      </c>
      <c r="Q228" t="s">
        <v>1027</v>
      </c>
      <c r="R228" t="s">
        <v>1159</v>
      </c>
    </row>
    <row r="229" spans="1:18" x14ac:dyDescent="0.25">
      <c r="A229" t="s">
        <v>66</v>
      </c>
      <c r="B229" t="s">
        <v>160</v>
      </c>
      <c r="C229" t="s">
        <v>260</v>
      </c>
      <c r="D229" t="s">
        <v>143</v>
      </c>
      <c r="E229" t="s">
        <v>341</v>
      </c>
      <c r="F229" t="e">
        <f t="shared" ca="1" si="4"/>
        <v>#NAME?</v>
      </c>
      <c r="G229" t="s">
        <v>440</v>
      </c>
      <c r="H229" t="s">
        <v>572</v>
      </c>
      <c r="I229">
        <v>405</v>
      </c>
      <c r="J229" t="s">
        <v>932</v>
      </c>
      <c r="Q229" t="s">
        <v>1003</v>
      </c>
      <c r="R229" t="s">
        <v>1057</v>
      </c>
    </row>
    <row r="230" spans="1:18" x14ac:dyDescent="0.25">
      <c r="A230" t="s">
        <v>66</v>
      </c>
      <c r="B230" t="s">
        <v>160</v>
      </c>
      <c r="C230" t="s">
        <v>261</v>
      </c>
      <c r="D230" t="s">
        <v>148</v>
      </c>
      <c r="E230" t="s">
        <v>341</v>
      </c>
      <c r="F230" t="e">
        <f t="shared" ca="1" si="4"/>
        <v>#NAME?</v>
      </c>
      <c r="G230" t="s">
        <v>560</v>
      </c>
      <c r="H230" t="s">
        <v>812</v>
      </c>
      <c r="I230">
        <v>721</v>
      </c>
      <c r="J230" t="s">
        <v>932</v>
      </c>
      <c r="Q230" t="s">
        <v>1047</v>
      </c>
      <c r="R230" t="s">
        <v>1160</v>
      </c>
    </row>
    <row r="231" spans="1:18" x14ac:dyDescent="0.25">
      <c r="A231" t="s">
        <v>66</v>
      </c>
      <c r="B231" t="s">
        <v>160</v>
      </c>
      <c r="C231" t="s">
        <v>261</v>
      </c>
      <c r="D231" t="s">
        <v>148</v>
      </c>
      <c r="E231" t="s">
        <v>341</v>
      </c>
      <c r="F231" t="e">
        <f t="shared" ca="1" si="4"/>
        <v>#NAME?</v>
      </c>
      <c r="G231" t="s">
        <v>561</v>
      </c>
      <c r="H231" t="s">
        <v>813</v>
      </c>
      <c r="I231">
        <v>410</v>
      </c>
      <c r="J231" t="s">
        <v>932</v>
      </c>
      <c r="Q231" t="s">
        <v>1048</v>
      </c>
      <c r="R231" t="s">
        <v>1161</v>
      </c>
    </row>
    <row r="232" spans="1:18" x14ac:dyDescent="0.25">
      <c r="A232" t="s">
        <v>66</v>
      </c>
      <c r="B232" t="s">
        <v>160</v>
      </c>
      <c r="C232" t="s">
        <v>262</v>
      </c>
      <c r="D232" t="s">
        <v>154</v>
      </c>
      <c r="E232" t="s">
        <v>341</v>
      </c>
      <c r="F232" t="e">
        <f t="shared" ca="1" si="4"/>
        <v>#NAME?</v>
      </c>
      <c r="G232" t="s">
        <v>461</v>
      </c>
      <c r="H232" t="s">
        <v>714</v>
      </c>
      <c r="I232">
        <v>98</v>
      </c>
      <c r="J232" t="s">
        <v>932</v>
      </c>
      <c r="Q232" t="s">
        <v>1024</v>
      </c>
      <c r="R232" t="s">
        <v>1121</v>
      </c>
    </row>
    <row r="233" spans="1:18" x14ac:dyDescent="0.25">
      <c r="A233" t="s">
        <v>66</v>
      </c>
      <c r="B233" t="s">
        <v>160</v>
      </c>
      <c r="C233" t="s">
        <v>206</v>
      </c>
      <c r="D233" t="s">
        <v>155</v>
      </c>
      <c r="E233" t="s">
        <v>341</v>
      </c>
      <c r="F233" t="e">
        <f t="shared" ca="1" si="4"/>
        <v>#NAME?</v>
      </c>
      <c r="G233" t="s">
        <v>458</v>
      </c>
      <c r="H233" t="s">
        <v>434</v>
      </c>
      <c r="I233">
        <v>440</v>
      </c>
      <c r="J233" t="s">
        <v>932</v>
      </c>
      <c r="Q233" t="s">
        <v>1021</v>
      </c>
      <c r="R233" t="s">
        <v>997</v>
      </c>
    </row>
    <row r="234" spans="1:18" x14ac:dyDescent="0.25">
      <c r="A234" t="s">
        <v>66</v>
      </c>
      <c r="B234" t="s">
        <v>160</v>
      </c>
      <c r="C234" t="s">
        <v>62</v>
      </c>
      <c r="D234" t="s">
        <v>157</v>
      </c>
      <c r="E234" t="s">
        <v>380</v>
      </c>
      <c r="F234" t="e">
        <f t="shared" ca="1" si="4"/>
        <v>#NAME?</v>
      </c>
      <c r="G234" t="s">
        <v>475</v>
      </c>
      <c r="H234" t="s">
        <v>814</v>
      </c>
      <c r="I234">
        <v>409</v>
      </c>
      <c r="J234" t="s">
        <v>932</v>
      </c>
      <c r="Q234" t="s">
        <v>1038</v>
      </c>
      <c r="R234" t="s">
        <v>1162</v>
      </c>
    </row>
    <row r="235" spans="1:18" x14ac:dyDescent="0.25">
      <c r="A235" t="s">
        <v>66</v>
      </c>
      <c r="B235" t="s">
        <v>160</v>
      </c>
      <c r="C235" t="s">
        <v>263</v>
      </c>
      <c r="D235" t="s">
        <v>331</v>
      </c>
      <c r="E235" t="s">
        <v>341</v>
      </c>
      <c r="F235" t="e">
        <f t="shared" ca="1" si="4"/>
        <v>#NAME?</v>
      </c>
      <c r="G235" t="s">
        <v>414</v>
      </c>
      <c r="H235" t="s">
        <v>718</v>
      </c>
      <c r="I235">
        <v>991</v>
      </c>
      <c r="J235" t="s">
        <v>932</v>
      </c>
      <c r="Q235" t="s">
        <v>977</v>
      </c>
      <c r="R235" t="s">
        <v>1138</v>
      </c>
    </row>
    <row r="236" spans="1:18" x14ac:dyDescent="0.25">
      <c r="A236" t="s">
        <v>66</v>
      </c>
      <c r="B236" t="s">
        <v>160</v>
      </c>
      <c r="C236" t="s">
        <v>263</v>
      </c>
      <c r="D236" t="s">
        <v>331</v>
      </c>
      <c r="E236" t="s">
        <v>341</v>
      </c>
      <c r="F236" t="e">
        <f t="shared" ca="1" si="4"/>
        <v>#NAME?</v>
      </c>
      <c r="G236" t="s">
        <v>562</v>
      </c>
      <c r="H236" t="s">
        <v>725</v>
      </c>
      <c r="I236">
        <v>995</v>
      </c>
      <c r="J236" t="s">
        <v>932</v>
      </c>
      <c r="Q236" t="s">
        <v>1049</v>
      </c>
      <c r="R236" t="s">
        <v>1074</v>
      </c>
    </row>
    <row r="237" spans="1:18" x14ac:dyDescent="0.25">
      <c r="A237" t="s">
        <v>66</v>
      </c>
      <c r="B237" t="s">
        <v>160</v>
      </c>
      <c r="C237" t="s">
        <v>64</v>
      </c>
      <c r="D237" t="s">
        <v>159</v>
      </c>
      <c r="E237" t="s">
        <v>341</v>
      </c>
      <c r="F237" t="e">
        <f t="shared" ca="1" si="4"/>
        <v>#NAME?</v>
      </c>
      <c r="G237" t="s">
        <v>458</v>
      </c>
      <c r="H237" t="s">
        <v>454</v>
      </c>
      <c r="I237">
        <v>467</v>
      </c>
      <c r="J237" t="s">
        <v>932</v>
      </c>
      <c r="Q237" t="s">
        <v>1021</v>
      </c>
      <c r="R237" t="s">
        <v>1017</v>
      </c>
    </row>
    <row r="238" spans="1:18" x14ac:dyDescent="0.25">
      <c r="A238" t="s">
        <v>66</v>
      </c>
      <c r="B238" t="s">
        <v>160</v>
      </c>
      <c r="C238" t="s">
        <v>64</v>
      </c>
      <c r="D238" t="s">
        <v>159</v>
      </c>
      <c r="E238" t="s">
        <v>341</v>
      </c>
      <c r="F238" t="e">
        <f t="shared" ca="1" si="4"/>
        <v>#NAME?</v>
      </c>
      <c r="G238" t="s">
        <v>563</v>
      </c>
      <c r="H238" t="s">
        <v>701</v>
      </c>
      <c r="I238">
        <v>463</v>
      </c>
      <c r="J238" t="s">
        <v>932</v>
      </c>
      <c r="Q238" t="s">
        <v>1050</v>
      </c>
      <c r="R238" t="s">
        <v>1076</v>
      </c>
    </row>
    <row r="239" spans="1:18" x14ac:dyDescent="0.25">
      <c r="A239" t="s">
        <v>66</v>
      </c>
      <c r="B239" t="s">
        <v>160</v>
      </c>
      <c r="C239" t="s">
        <v>64</v>
      </c>
      <c r="D239" t="s">
        <v>159</v>
      </c>
      <c r="E239" t="s">
        <v>341</v>
      </c>
      <c r="F239" t="e">
        <f t="shared" ca="1" si="4"/>
        <v>#NAME?</v>
      </c>
      <c r="G239" t="s">
        <v>564</v>
      </c>
      <c r="H239" t="s">
        <v>429</v>
      </c>
      <c r="I239">
        <v>499</v>
      </c>
      <c r="J239" t="s">
        <v>932</v>
      </c>
      <c r="Q239" t="s">
        <v>1051</v>
      </c>
      <c r="R239" t="s">
        <v>992</v>
      </c>
    </row>
    <row r="240" spans="1:18" x14ac:dyDescent="0.25">
      <c r="A240" t="s">
        <v>66</v>
      </c>
      <c r="B240" t="s">
        <v>160</v>
      </c>
      <c r="C240" t="s">
        <v>264</v>
      </c>
      <c r="D240" t="s">
        <v>166</v>
      </c>
      <c r="E240" t="s">
        <v>341</v>
      </c>
      <c r="F240" t="e">
        <f t="shared" ca="1" si="4"/>
        <v>#NAME?</v>
      </c>
      <c r="G240" t="s">
        <v>565</v>
      </c>
      <c r="H240" t="s">
        <v>715</v>
      </c>
      <c r="I240">
        <v>723</v>
      </c>
      <c r="J240" t="s">
        <v>932</v>
      </c>
      <c r="Q240" t="s">
        <v>1052</v>
      </c>
      <c r="R240" t="s">
        <v>1136</v>
      </c>
    </row>
    <row r="241" spans="1:18" x14ac:dyDescent="0.25">
      <c r="A241" t="s">
        <v>66</v>
      </c>
      <c r="B241" t="s">
        <v>160</v>
      </c>
      <c r="C241" t="s">
        <v>264</v>
      </c>
      <c r="D241" t="s">
        <v>166</v>
      </c>
      <c r="E241" t="s">
        <v>341</v>
      </c>
      <c r="F241" t="e">
        <f t="shared" ca="1" si="4"/>
        <v>#NAME?</v>
      </c>
      <c r="G241" t="s">
        <v>561</v>
      </c>
      <c r="H241" t="s">
        <v>462</v>
      </c>
      <c r="I241">
        <v>436</v>
      </c>
      <c r="J241" t="s">
        <v>932</v>
      </c>
      <c r="Q241" t="s">
        <v>1048</v>
      </c>
      <c r="R241" t="s">
        <v>1025</v>
      </c>
    </row>
    <row r="242" spans="1:18" x14ac:dyDescent="0.25">
      <c r="A242" t="s">
        <v>66</v>
      </c>
      <c r="B242" t="s">
        <v>160</v>
      </c>
      <c r="C242" t="s">
        <v>204</v>
      </c>
      <c r="D242" t="s">
        <v>168</v>
      </c>
      <c r="E242" t="s">
        <v>341</v>
      </c>
      <c r="F242" t="e">
        <f t="shared" ca="1" si="4"/>
        <v>#NAME?</v>
      </c>
      <c r="G242" t="s">
        <v>414</v>
      </c>
      <c r="H242" t="s">
        <v>815</v>
      </c>
      <c r="I242">
        <v>454</v>
      </c>
      <c r="J242" t="s">
        <v>932</v>
      </c>
      <c r="Q242" t="s">
        <v>977</v>
      </c>
      <c r="R242" t="s">
        <v>1163</v>
      </c>
    </row>
    <row r="243" spans="1:18" x14ac:dyDescent="0.25">
      <c r="A243" t="s">
        <v>66</v>
      </c>
      <c r="B243" t="s">
        <v>160</v>
      </c>
      <c r="C243" t="s">
        <v>209</v>
      </c>
      <c r="D243" t="s">
        <v>168</v>
      </c>
      <c r="E243" t="s">
        <v>341</v>
      </c>
      <c r="F243" t="e">
        <f t="shared" ca="1" si="4"/>
        <v>#NAME?</v>
      </c>
      <c r="G243" t="s">
        <v>525</v>
      </c>
      <c r="H243" t="s">
        <v>816</v>
      </c>
      <c r="I243">
        <v>454</v>
      </c>
      <c r="J243" t="s">
        <v>932</v>
      </c>
    </row>
    <row r="244" spans="1:18" x14ac:dyDescent="0.25">
      <c r="A244" t="s">
        <v>66</v>
      </c>
      <c r="B244" t="s">
        <v>160</v>
      </c>
      <c r="C244" t="s">
        <v>265</v>
      </c>
      <c r="D244" t="s">
        <v>170</v>
      </c>
      <c r="E244" t="s">
        <v>341</v>
      </c>
      <c r="F244" t="e">
        <f t="shared" ca="1" si="4"/>
        <v>#NAME?</v>
      </c>
      <c r="G244" t="s">
        <v>525</v>
      </c>
      <c r="H244" t="s">
        <v>817</v>
      </c>
      <c r="I244">
        <v>274</v>
      </c>
      <c r="J244" t="s">
        <v>932</v>
      </c>
    </row>
    <row r="245" spans="1:18" x14ac:dyDescent="0.25">
      <c r="A245" t="s">
        <v>66</v>
      </c>
      <c r="B245" t="s">
        <v>160</v>
      </c>
      <c r="C245" t="s">
        <v>266</v>
      </c>
      <c r="D245" t="s">
        <v>169</v>
      </c>
      <c r="E245" t="s">
        <v>341</v>
      </c>
      <c r="F245" t="e">
        <f t="shared" ca="1" si="4"/>
        <v>#NAME?</v>
      </c>
      <c r="G245" t="s">
        <v>566</v>
      </c>
      <c r="H245" t="s">
        <v>818</v>
      </c>
      <c r="I245">
        <v>244</v>
      </c>
      <c r="J245" t="s">
        <v>932</v>
      </c>
    </row>
    <row r="246" spans="1:18" x14ac:dyDescent="0.25">
      <c r="A246" t="s">
        <v>66</v>
      </c>
      <c r="B246" t="s">
        <v>160</v>
      </c>
      <c r="C246" t="s">
        <v>209</v>
      </c>
      <c r="D246" t="s">
        <v>168</v>
      </c>
      <c r="E246" t="s">
        <v>341</v>
      </c>
      <c r="F246" t="e">
        <f t="shared" ca="1" si="4"/>
        <v>#NAME?</v>
      </c>
      <c r="G246" t="s">
        <v>514</v>
      </c>
      <c r="H246" t="s">
        <v>796</v>
      </c>
      <c r="I246">
        <v>114</v>
      </c>
      <c r="J246" t="s">
        <v>932</v>
      </c>
    </row>
    <row r="247" spans="1:18" x14ac:dyDescent="0.25">
      <c r="A247" t="s">
        <v>66</v>
      </c>
      <c r="B247" t="s">
        <v>160</v>
      </c>
      <c r="C247" t="s">
        <v>209</v>
      </c>
      <c r="D247" t="s">
        <v>168</v>
      </c>
      <c r="E247" t="s">
        <v>341</v>
      </c>
      <c r="F247" t="e">
        <f t="shared" ca="1" si="4"/>
        <v>#NAME?</v>
      </c>
      <c r="G247" t="s">
        <v>515</v>
      </c>
      <c r="H247" t="s">
        <v>772</v>
      </c>
      <c r="I247">
        <v>66</v>
      </c>
      <c r="J247" t="s">
        <v>932</v>
      </c>
    </row>
    <row r="248" spans="1:18" x14ac:dyDescent="0.25">
      <c r="A248" t="s">
        <v>66</v>
      </c>
      <c r="B248" t="s">
        <v>160</v>
      </c>
      <c r="C248" t="s">
        <v>266</v>
      </c>
      <c r="D248" t="s">
        <v>169</v>
      </c>
      <c r="E248" t="s">
        <v>341</v>
      </c>
      <c r="F248" t="e">
        <f t="shared" ca="1" si="4"/>
        <v>#NAME?</v>
      </c>
      <c r="G248" t="s">
        <v>567</v>
      </c>
      <c r="H248" t="s">
        <v>819</v>
      </c>
      <c r="I248">
        <v>248</v>
      </c>
      <c r="J248" t="s">
        <v>932</v>
      </c>
    </row>
    <row r="249" spans="1:18" x14ac:dyDescent="0.25">
      <c r="A249" t="s">
        <v>66</v>
      </c>
      <c r="B249" t="s">
        <v>160</v>
      </c>
      <c r="C249" t="s">
        <v>267</v>
      </c>
      <c r="D249" t="s">
        <v>172</v>
      </c>
      <c r="E249" t="s">
        <v>341</v>
      </c>
      <c r="F249" t="e">
        <f t="shared" ca="1" si="4"/>
        <v>#NAME?</v>
      </c>
      <c r="G249" t="s">
        <v>448</v>
      </c>
      <c r="H249" t="s">
        <v>565</v>
      </c>
      <c r="I249">
        <v>370</v>
      </c>
      <c r="J249" t="s">
        <v>932</v>
      </c>
      <c r="Q249" t="s">
        <v>1011</v>
      </c>
      <c r="R249" t="s">
        <v>1052</v>
      </c>
    </row>
    <row r="250" spans="1:18" x14ac:dyDescent="0.25">
      <c r="A250" t="s">
        <v>66</v>
      </c>
      <c r="B250" t="s">
        <v>160</v>
      </c>
      <c r="C250" t="s">
        <v>267</v>
      </c>
      <c r="D250" t="s">
        <v>172</v>
      </c>
      <c r="E250" t="s">
        <v>341</v>
      </c>
      <c r="F250" t="e">
        <f t="shared" ca="1" si="4"/>
        <v>#NAME?</v>
      </c>
      <c r="G250" t="s">
        <v>458</v>
      </c>
      <c r="H250" t="s">
        <v>820</v>
      </c>
      <c r="I250">
        <v>372</v>
      </c>
      <c r="J250" t="s">
        <v>932</v>
      </c>
      <c r="Q250" t="s">
        <v>1021</v>
      </c>
      <c r="R250" t="s">
        <v>1164</v>
      </c>
    </row>
    <row r="251" spans="1:18" x14ac:dyDescent="0.25">
      <c r="A251" t="s">
        <v>66</v>
      </c>
      <c r="B251" t="s">
        <v>160</v>
      </c>
      <c r="C251" t="s">
        <v>267</v>
      </c>
      <c r="D251" t="s">
        <v>172</v>
      </c>
      <c r="E251" t="s">
        <v>341</v>
      </c>
      <c r="F251" t="e">
        <f t="shared" ca="1" si="4"/>
        <v>#NAME?</v>
      </c>
      <c r="G251" t="s">
        <v>424</v>
      </c>
      <c r="H251" t="s">
        <v>821</v>
      </c>
      <c r="I251">
        <v>374</v>
      </c>
      <c r="J251" t="s">
        <v>932</v>
      </c>
      <c r="Q251" t="s">
        <v>987</v>
      </c>
      <c r="R251" t="s">
        <v>1086</v>
      </c>
    </row>
    <row r="252" spans="1:18" x14ac:dyDescent="0.25">
      <c r="A252" t="s">
        <v>66</v>
      </c>
      <c r="B252" t="s">
        <v>160</v>
      </c>
      <c r="C252" t="s">
        <v>267</v>
      </c>
      <c r="D252" t="s">
        <v>172</v>
      </c>
      <c r="E252" t="s">
        <v>341</v>
      </c>
      <c r="F252" t="e">
        <f t="shared" ca="1" si="4"/>
        <v>#NAME?</v>
      </c>
      <c r="G252" t="s">
        <v>427</v>
      </c>
      <c r="H252" t="s">
        <v>718</v>
      </c>
      <c r="I252">
        <v>376</v>
      </c>
      <c r="J252" t="s">
        <v>932</v>
      </c>
      <c r="Q252" t="s">
        <v>990</v>
      </c>
      <c r="R252" t="s">
        <v>1138</v>
      </c>
    </row>
    <row r="253" spans="1:18" x14ac:dyDescent="0.25">
      <c r="A253" t="s">
        <v>66</v>
      </c>
      <c r="B253" t="s">
        <v>160</v>
      </c>
      <c r="C253" t="s">
        <v>267</v>
      </c>
      <c r="D253" t="s">
        <v>172</v>
      </c>
      <c r="E253" t="s">
        <v>341</v>
      </c>
      <c r="F253" t="e">
        <f t="shared" ca="1" si="4"/>
        <v>#NAME?</v>
      </c>
      <c r="G253" t="s">
        <v>568</v>
      </c>
      <c r="H253" t="s">
        <v>822</v>
      </c>
      <c r="I253">
        <v>378</v>
      </c>
      <c r="J253" t="s">
        <v>932</v>
      </c>
      <c r="Q253" t="s">
        <v>1053</v>
      </c>
      <c r="R253" t="s">
        <v>1130</v>
      </c>
    </row>
    <row r="254" spans="1:18" x14ac:dyDescent="0.25">
      <c r="A254" t="s">
        <v>66</v>
      </c>
      <c r="B254" t="s">
        <v>160</v>
      </c>
      <c r="C254" t="s">
        <v>267</v>
      </c>
      <c r="D254" t="s">
        <v>172</v>
      </c>
      <c r="E254" t="s">
        <v>341</v>
      </c>
      <c r="F254" t="e">
        <f t="shared" ca="1" si="4"/>
        <v>#NAME?</v>
      </c>
      <c r="G254" t="s">
        <v>408</v>
      </c>
      <c r="H254" t="s">
        <v>823</v>
      </c>
      <c r="I254">
        <v>380</v>
      </c>
      <c r="J254" t="s">
        <v>932</v>
      </c>
      <c r="Q254" t="s">
        <v>971</v>
      </c>
      <c r="R254" t="s">
        <v>1165</v>
      </c>
    </row>
    <row r="255" spans="1:18" x14ac:dyDescent="0.25">
      <c r="A255" t="s">
        <v>66</v>
      </c>
      <c r="B255" t="s">
        <v>160</v>
      </c>
      <c r="C255" t="s">
        <v>267</v>
      </c>
      <c r="D255" t="s">
        <v>172</v>
      </c>
      <c r="E255" t="s">
        <v>341</v>
      </c>
      <c r="F255" t="e">
        <f t="shared" ca="1" si="4"/>
        <v>#NAME?</v>
      </c>
      <c r="G255" t="s">
        <v>569</v>
      </c>
      <c r="H255" t="s">
        <v>824</v>
      </c>
      <c r="I255">
        <v>382</v>
      </c>
      <c r="J255" t="s">
        <v>932</v>
      </c>
      <c r="Q255" t="s">
        <v>1054</v>
      </c>
      <c r="R255" t="s">
        <v>1118</v>
      </c>
    </row>
    <row r="256" spans="1:18" x14ac:dyDescent="0.25">
      <c r="A256" t="s">
        <v>66</v>
      </c>
      <c r="B256" t="s">
        <v>160</v>
      </c>
      <c r="C256" t="s">
        <v>267</v>
      </c>
      <c r="D256" t="s">
        <v>172</v>
      </c>
      <c r="E256" t="s">
        <v>341</v>
      </c>
      <c r="F256" t="e">
        <f t="shared" ca="1" si="4"/>
        <v>#NAME?</v>
      </c>
      <c r="G256" t="s">
        <v>408</v>
      </c>
      <c r="H256" t="s">
        <v>462</v>
      </c>
      <c r="I256">
        <v>384</v>
      </c>
      <c r="J256" t="s">
        <v>932</v>
      </c>
      <c r="Q256" t="s">
        <v>971</v>
      </c>
      <c r="R256" t="s">
        <v>1025</v>
      </c>
    </row>
    <row r="257" spans="1:18" x14ac:dyDescent="0.25">
      <c r="A257" t="s">
        <v>66</v>
      </c>
      <c r="B257" t="s">
        <v>160</v>
      </c>
      <c r="C257" t="s">
        <v>267</v>
      </c>
      <c r="D257" t="s">
        <v>172</v>
      </c>
      <c r="E257" t="s">
        <v>341</v>
      </c>
      <c r="F257" t="e">
        <f t="shared" ca="1" si="4"/>
        <v>#NAME?</v>
      </c>
      <c r="G257" t="s">
        <v>570</v>
      </c>
      <c r="H257" t="s">
        <v>824</v>
      </c>
      <c r="I257">
        <v>386</v>
      </c>
      <c r="J257" t="s">
        <v>932</v>
      </c>
      <c r="Q257" t="s">
        <v>1055</v>
      </c>
      <c r="R257" t="s">
        <v>1118</v>
      </c>
    </row>
    <row r="258" spans="1:18" x14ac:dyDescent="0.25">
      <c r="A258" t="s">
        <v>66</v>
      </c>
      <c r="B258" t="s">
        <v>160</v>
      </c>
      <c r="C258" t="s">
        <v>267</v>
      </c>
      <c r="D258" t="s">
        <v>172</v>
      </c>
      <c r="E258" t="s">
        <v>341</v>
      </c>
      <c r="F258" t="e">
        <f t="shared" ca="1" si="4"/>
        <v>#NAME?</v>
      </c>
      <c r="G258" t="s">
        <v>571</v>
      </c>
      <c r="H258" t="s">
        <v>825</v>
      </c>
      <c r="I258">
        <v>99</v>
      </c>
      <c r="J258" t="s">
        <v>932</v>
      </c>
      <c r="Q258" t="s">
        <v>1056</v>
      </c>
      <c r="R258" t="s">
        <v>1120</v>
      </c>
    </row>
    <row r="259" spans="1:18" x14ac:dyDescent="0.25">
      <c r="A259" t="s">
        <v>66</v>
      </c>
      <c r="B259" t="s">
        <v>160</v>
      </c>
      <c r="C259" t="s">
        <v>267</v>
      </c>
      <c r="D259" t="s">
        <v>172</v>
      </c>
      <c r="E259" t="s">
        <v>341</v>
      </c>
      <c r="F259" t="e">
        <f t="shared" ref="F259:F322" ca="1" si="5">ConvertToOAG(E259)</f>
        <v>#NAME?</v>
      </c>
      <c r="G259" t="s">
        <v>564</v>
      </c>
      <c r="H259" t="s">
        <v>412</v>
      </c>
      <c r="I259">
        <v>498</v>
      </c>
      <c r="J259" t="s">
        <v>932</v>
      </c>
      <c r="Q259" t="s">
        <v>1051</v>
      </c>
      <c r="R259" t="s">
        <v>975</v>
      </c>
    </row>
    <row r="260" spans="1:18" x14ac:dyDescent="0.25">
      <c r="A260" t="s">
        <v>66</v>
      </c>
      <c r="B260" t="s">
        <v>160</v>
      </c>
      <c r="C260" t="s">
        <v>267</v>
      </c>
      <c r="D260" t="s">
        <v>172</v>
      </c>
      <c r="E260" t="s">
        <v>341</v>
      </c>
      <c r="F260" t="e">
        <f t="shared" ca="1" si="5"/>
        <v>#NAME?</v>
      </c>
      <c r="G260" t="s">
        <v>420</v>
      </c>
      <c r="H260" t="s">
        <v>471</v>
      </c>
      <c r="I260">
        <v>392</v>
      </c>
      <c r="J260" t="s">
        <v>932</v>
      </c>
      <c r="Q260" t="s">
        <v>983</v>
      </c>
      <c r="R260" t="s">
        <v>1034</v>
      </c>
    </row>
    <row r="261" spans="1:18" x14ac:dyDescent="0.25">
      <c r="A261" t="s">
        <v>66</v>
      </c>
      <c r="B261" t="s">
        <v>160</v>
      </c>
      <c r="C261" t="s">
        <v>267</v>
      </c>
      <c r="D261" t="s">
        <v>172</v>
      </c>
      <c r="E261" t="s">
        <v>341</v>
      </c>
      <c r="F261" t="e">
        <f t="shared" ca="1" si="5"/>
        <v>#NAME?</v>
      </c>
      <c r="G261" t="s">
        <v>572</v>
      </c>
      <c r="H261" t="s">
        <v>826</v>
      </c>
      <c r="I261">
        <v>394</v>
      </c>
      <c r="J261" t="s">
        <v>932</v>
      </c>
      <c r="Q261" t="s">
        <v>1057</v>
      </c>
      <c r="R261" t="s">
        <v>1083</v>
      </c>
    </row>
    <row r="262" spans="1:18" x14ac:dyDescent="0.25">
      <c r="A262" t="s">
        <v>66</v>
      </c>
      <c r="B262" t="s">
        <v>160</v>
      </c>
      <c r="C262" t="s">
        <v>267</v>
      </c>
      <c r="D262" t="s">
        <v>172</v>
      </c>
      <c r="E262" t="s">
        <v>341</v>
      </c>
      <c r="F262" t="e">
        <f t="shared" ca="1" si="5"/>
        <v>#NAME?</v>
      </c>
      <c r="G262" t="s">
        <v>410</v>
      </c>
      <c r="H262" t="s">
        <v>473</v>
      </c>
      <c r="I262">
        <v>396</v>
      </c>
      <c r="J262" t="s">
        <v>932</v>
      </c>
      <c r="Q262" t="s">
        <v>973</v>
      </c>
      <c r="R262" t="s">
        <v>1036</v>
      </c>
    </row>
    <row r="263" spans="1:18" x14ac:dyDescent="0.25">
      <c r="A263" t="s">
        <v>66</v>
      </c>
      <c r="B263" t="s">
        <v>160</v>
      </c>
      <c r="C263" t="s">
        <v>267</v>
      </c>
      <c r="D263" t="s">
        <v>172</v>
      </c>
      <c r="E263" t="s">
        <v>341</v>
      </c>
      <c r="F263" t="e">
        <f t="shared" ca="1" si="5"/>
        <v>#NAME?</v>
      </c>
      <c r="G263" t="s">
        <v>411</v>
      </c>
      <c r="H263" t="s">
        <v>699</v>
      </c>
      <c r="I263">
        <v>398</v>
      </c>
      <c r="J263" t="s">
        <v>932</v>
      </c>
      <c r="Q263" t="s">
        <v>974</v>
      </c>
      <c r="R263" t="s">
        <v>1075</v>
      </c>
    </row>
    <row r="264" spans="1:18" x14ac:dyDescent="0.25">
      <c r="A264" t="s">
        <v>66</v>
      </c>
      <c r="B264" t="s">
        <v>160</v>
      </c>
      <c r="C264" t="s">
        <v>212</v>
      </c>
      <c r="D264" t="s">
        <v>181</v>
      </c>
      <c r="E264" t="s">
        <v>341</v>
      </c>
      <c r="F264" t="e">
        <f t="shared" ca="1" si="5"/>
        <v>#NAME?</v>
      </c>
      <c r="G264" t="s">
        <v>573</v>
      </c>
      <c r="H264" t="s">
        <v>714</v>
      </c>
      <c r="I264">
        <v>447</v>
      </c>
      <c r="J264" t="s">
        <v>932</v>
      </c>
      <c r="Q264" t="s">
        <v>1058</v>
      </c>
      <c r="R264" t="s">
        <v>1121</v>
      </c>
    </row>
    <row r="265" spans="1:18" x14ac:dyDescent="0.25">
      <c r="A265" t="s">
        <v>66</v>
      </c>
      <c r="B265" t="s">
        <v>160</v>
      </c>
      <c r="C265" t="s">
        <v>89</v>
      </c>
      <c r="D265" t="s">
        <v>332</v>
      </c>
      <c r="E265" t="s">
        <v>381</v>
      </c>
      <c r="F265" t="e">
        <f t="shared" ca="1" si="5"/>
        <v>#NAME?</v>
      </c>
      <c r="G265" t="s">
        <v>408</v>
      </c>
      <c r="H265" t="s">
        <v>827</v>
      </c>
      <c r="I265">
        <v>435</v>
      </c>
      <c r="J265" t="s">
        <v>932</v>
      </c>
      <c r="Q265" t="s">
        <v>971</v>
      </c>
      <c r="R265" t="s">
        <v>1087</v>
      </c>
    </row>
    <row r="266" spans="1:18" x14ac:dyDescent="0.25">
      <c r="A266" t="s">
        <v>66</v>
      </c>
      <c r="B266" t="s">
        <v>160</v>
      </c>
      <c r="C266" t="s">
        <v>268</v>
      </c>
      <c r="D266" t="s">
        <v>195</v>
      </c>
      <c r="E266" t="s">
        <v>341</v>
      </c>
      <c r="F266" t="e">
        <f t="shared" ca="1" si="5"/>
        <v>#NAME?</v>
      </c>
      <c r="G266" t="s">
        <v>574</v>
      </c>
      <c r="H266" t="s">
        <v>828</v>
      </c>
      <c r="I266">
        <v>328</v>
      </c>
      <c r="J266" t="s">
        <v>932</v>
      </c>
    </row>
    <row r="267" spans="1:18" x14ac:dyDescent="0.25">
      <c r="A267" t="s">
        <v>66</v>
      </c>
      <c r="B267" t="s">
        <v>160</v>
      </c>
      <c r="C267" t="s">
        <v>268</v>
      </c>
      <c r="D267" t="s">
        <v>195</v>
      </c>
      <c r="E267" t="s">
        <v>341</v>
      </c>
      <c r="F267" t="e">
        <f t="shared" ca="1" si="5"/>
        <v>#NAME?</v>
      </c>
      <c r="G267" t="s">
        <v>525</v>
      </c>
      <c r="H267" t="s">
        <v>829</v>
      </c>
      <c r="I267">
        <v>330</v>
      </c>
      <c r="J267" t="s">
        <v>932</v>
      </c>
    </row>
    <row r="268" spans="1:18" x14ac:dyDescent="0.25">
      <c r="A268" t="s">
        <v>66</v>
      </c>
      <c r="B268" t="s">
        <v>160</v>
      </c>
      <c r="C268" t="s">
        <v>268</v>
      </c>
      <c r="D268" t="s">
        <v>195</v>
      </c>
      <c r="E268" t="s">
        <v>341</v>
      </c>
      <c r="F268" t="e">
        <f t="shared" ca="1" si="5"/>
        <v>#NAME?</v>
      </c>
      <c r="G268" t="s">
        <v>575</v>
      </c>
      <c r="H268" t="s">
        <v>805</v>
      </c>
      <c r="I268">
        <v>332</v>
      </c>
      <c r="J268" t="s">
        <v>932</v>
      </c>
    </row>
    <row r="269" spans="1:18" x14ac:dyDescent="0.25">
      <c r="A269" t="s">
        <v>66</v>
      </c>
      <c r="B269" t="s">
        <v>160</v>
      </c>
      <c r="C269" t="s">
        <v>268</v>
      </c>
      <c r="D269" t="s">
        <v>195</v>
      </c>
      <c r="E269" t="s">
        <v>341</v>
      </c>
      <c r="F269" t="e">
        <f t="shared" ca="1" si="5"/>
        <v>#NAME?</v>
      </c>
      <c r="G269" t="s">
        <v>538</v>
      </c>
      <c r="H269" t="s">
        <v>544</v>
      </c>
      <c r="I269">
        <v>334</v>
      </c>
      <c r="J269" t="s">
        <v>932</v>
      </c>
    </row>
    <row r="270" spans="1:18" x14ac:dyDescent="0.25">
      <c r="A270" t="s">
        <v>66</v>
      </c>
      <c r="B270" t="s">
        <v>160</v>
      </c>
      <c r="C270" t="s">
        <v>268</v>
      </c>
      <c r="D270" t="s">
        <v>195</v>
      </c>
      <c r="E270" t="s">
        <v>341</v>
      </c>
      <c r="F270" t="e">
        <f t="shared" ca="1" si="5"/>
        <v>#NAME?</v>
      </c>
      <c r="G270" t="s">
        <v>518</v>
      </c>
      <c r="H270" t="s">
        <v>830</v>
      </c>
      <c r="I270">
        <v>336</v>
      </c>
      <c r="J270" t="s">
        <v>932</v>
      </c>
    </row>
    <row r="271" spans="1:18" x14ac:dyDescent="0.25">
      <c r="A271" t="s">
        <v>66</v>
      </c>
      <c r="B271" t="s">
        <v>160</v>
      </c>
      <c r="C271" t="s">
        <v>268</v>
      </c>
      <c r="D271" t="s">
        <v>195</v>
      </c>
      <c r="E271" t="s">
        <v>341</v>
      </c>
      <c r="F271" t="e">
        <f t="shared" ca="1" si="5"/>
        <v>#NAME?</v>
      </c>
      <c r="G271" t="s">
        <v>576</v>
      </c>
      <c r="H271" t="s">
        <v>520</v>
      </c>
      <c r="I271">
        <v>338</v>
      </c>
      <c r="J271" t="s">
        <v>932</v>
      </c>
    </row>
    <row r="272" spans="1:18" x14ac:dyDescent="0.25">
      <c r="A272" t="s">
        <v>66</v>
      </c>
      <c r="B272" t="s">
        <v>160</v>
      </c>
      <c r="C272" t="s">
        <v>268</v>
      </c>
      <c r="D272" t="s">
        <v>195</v>
      </c>
      <c r="E272" t="s">
        <v>341</v>
      </c>
      <c r="F272" t="e">
        <f t="shared" ca="1" si="5"/>
        <v>#NAME?</v>
      </c>
      <c r="G272" t="s">
        <v>547</v>
      </c>
      <c r="H272" t="s">
        <v>831</v>
      </c>
      <c r="I272">
        <v>464</v>
      </c>
      <c r="J272" t="s">
        <v>932</v>
      </c>
    </row>
    <row r="273" spans="1:18" x14ac:dyDescent="0.25">
      <c r="A273" t="s">
        <v>66</v>
      </c>
      <c r="B273" t="s">
        <v>160</v>
      </c>
      <c r="C273" t="s">
        <v>268</v>
      </c>
      <c r="D273" t="s">
        <v>195</v>
      </c>
      <c r="E273" t="s">
        <v>341</v>
      </c>
      <c r="F273" t="e">
        <f t="shared" ca="1" si="5"/>
        <v>#NAME?</v>
      </c>
      <c r="G273" t="s">
        <v>514</v>
      </c>
      <c r="H273" t="s">
        <v>785</v>
      </c>
      <c r="I273">
        <v>342</v>
      </c>
      <c r="J273" t="s">
        <v>932</v>
      </c>
    </row>
    <row r="274" spans="1:18" x14ac:dyDescent="0.25">
      <c r="A274" t="s">
        <v>66</v>
      </c>
      <c r="B274" t="s">
        <v>160</v>
      </c>
      <c r="C274" t="s">
        <v>268</v>
      </c>
      <c r="D274" t="s">
        <v>195</v>
      </c>
      <c r="E274" t="s">
        <v>341</v>
      </c>
      <c r="F274" t="e">
        <f t="shared" ca="1" si="5"/>
        <v>#NAME?</v>
      </c>
      <c r="G274" t="s">
        <v>554</v>
      </c>
      <c r="H274" t="s">
        <v>540</v>
      </c>
      <c r="I274">
        <v>344</v>
      </c>
      <c r="J274" t="s">
        <v>932</v>
      </c>
    </row>
    <row r="275" spans="1:18" x14ac:dyDescent="0.25">
      <c r="A275" t="s">
        <v>66</v>
      </c>
      <c r="B275" t="s">
        <v>160</v>
      </c>
      <c r="C275" t="s">
        <v>268</v>
      </c>
      <c r="D275" t="s">
        <v>195</v>
      </c>
      <c r="E275" t="s">
        <v>341</v>
      </c>
      <c r="F275" t="e">
        <f t="shared" ca="1" si="5"/>
        <v>#NAME?</v>
      </c>
      <c r="G275" t="s">
        <v>515</v>
      </c>
      <c r="H275" t="s">
        <v>796</v>
      </c>
      <c r="I275">
        <v>346</v>
      </c>
      <c r="J275" t="s">
        <v>932</v>
      </c>
    </row>
    <row r="276" spans="1:18" x14ac:dyDescent="0.25">
      <c r="A276" t="s">
        <v>66</v>
      </c>
      <c r="B276" t="s">
        <v>160</v>
      </c>
      <c r="C276" t="s">
        <v>268</v>
      </c>
      <c r="D276" t="s">
        <v>195</v>
      </c>
      <c r="E276" t="s">
        <v>341</v>
      </c>
      <c r="F276" t="e">
        <f t="shared" ca="1" si="5"/>
        <v>#NAME?</v>
      </c>
      <c r="G276" t="s">
        <v>567</v>
      </c>
      <c r="H276" t="s">
        <v>832</v>
      </c>
      <c r="I276">
        <v>348</v>
      </c>
      <c r="J276" t="s">
        <v>932</v>
      </c>
    </row>
    <row r="277" spans="1:18" x14ac:dyDescent="0.25">
      <c r="A277" t="s">
        <v>66</v>
      </c>
      <c r="B277" t="s">
        <v>160</v>
      </c>
      <c r="C277" t="s">
        <v>268</v>
      </c>
      <c r="D277" t="s">
        <v>195</v>
      </c>
      <c r="E277" t="s">
        <v>341</v>
      </c>
      <c r="F277" t="e">
        <f t="shared" ca="1" si="5"/>
        <v>#NAME?</v>
      </c>
      <c r="G277" t="s">
        <v>577</v>
      </c>
      <c r="H277" t="s">
        <v>772</v>
      </c>
      <c r="I277">
        <v>350</v>
      </c>
      <c r="J277" t="s">
        <v>932</v>
      </c>
    </row>
    <row r="278" spans="1:18" x14ac:dyDescent="0.25">
      <c r="A278" t="s">
        <v>66</v>
      </c>
      <c r="B278" t="s">
        <v>160</v>
      </c>
      <c r="C278" t="s">
        <v>268</v>
      </c>
      <c r="D278" t="s">
        <v>195</v>
      </c>
      <c r="E278" t="s">
        <v>341</v>
      </c>
      <c r="F278" t="e">
        <f t="shared" ca="1" si="5"/>
        <v>#NAME?</v>
      </c>
      <c r="G278" t="s">
        <v>533</v>
      </c>
      <c r="H278" t="s">
        <v>833</v>
      </c>
      <c r="I278">
        <v>352</v>
      </c>
      <c r="J278" t="s">
        <v>932</v>
      </c>
    </row>
    <row r="279" spans="1:18" x14ac:dyDescent="0.25">
      <c r="A279" t="s">
        <v>66</v>
      </c>
      <c r="B279" t="s">
        <v>160</v>
      </c>
      <c r="C279" t="s">
        <v>268</v>
      </c>
      <c r="D279" t="s">
        <v>195</v>
      </c>
      <c r="E279" t="s">
        <v>341</v>
      </c>
      <c r="F279" t="e">
        <f t="shared" ca="1" si="5"/>
        <v>#NAME?</v>
      </c>
      <c r="G279" t="s">
        <v>517</v>
      </c>
      <c r="H279" t="s">
        <v>783</v>
      </c>
      <c r="I279">
        <v>354</v>
      </c>
      <c r="J279" t="s">
        <v>932</v>
      </c>
    </row>
    <row r="280" spans="1:18" x14ac:dyDescent="0.25">
      <c r="A280" t="s">
        <v>66</v>
      </c>
      <c r="B280" t="s">
        <v>160</v>
      </c>
      <c r="C280" t="s">
        <v>269</v>
      </c>
      <c r="D280" t="s">
        <v>199</v>
      </c>
      <c r="E280" t="s">
        <v>341</v>
      </c>
      <c r="F280" t="e">
        <f t="shared" ca="1" si="5"/>
        <v>#NAME?</v>
      </c>
      <c r="G280" t="s">
        <v>496</v>
      </c>
      <c r="H280" t="s">
        <v>542</v>
      </c>
      <c r="I280">
        <v>252</v>
      </c>
      <c r="J280" t="s">
        <v>932</v>
      </c>
    </row>
    <row r="281" spans="1:18" x14ac:dyDescent="0.25">
      <c r="A281" t="s">
        <v>66</v>
      </c>
      <c r="B281" t="s">
        <v>160</v>
      </c>
      <c r="C281" t="s">
        <v>269</v>
      </c>
      <c r="D281" t="s">
        <v>199</v>
      </c>
      <c r="E281" t="s">
        <v>341</v>
      </c>
      <c r="F281" t="e">
        <f t="shared" ca="1" si="5"/>
        <v>#NAME?</v>
      </c>
      <c r="G281" t="s">
        <v>578</v>
      </c>
      <c r="H281" t="s">
        <v>834</v>
      </c>
      <c r="I281">
        <v>254</v>
      </c>
      <c r="J281" t="s">
        <v>932</v>
      </c>
    </row>
    <row r="282" spans="1:18" x14ac:dyDescent="0.25">
      <c r="A282" t="s">
        <v>66</v>
      </c>
      <c r="B282" t="s">
        <v>160</v>
      </c>
      <c r="C282" t="s">
        <v>269</v>
      </c>
      <c r="D282" t="s">
        <v>199</v>
      </c>
      <c r="E282" t="s">
        <v>341</v>
      </c>
      <c r="F282" t="e">
        <f t="shared" ca="1" si="5"/>
        <v>#NAME?</v>
      </c>
      <c r="G282" t="s">
        <v>531</v>
      </c>
      <c r="H282" t="s">
        <v>835</v>
      </c>
      <c r="I282">
        <v>258</v>
      </c>
      <c r="J282" t="s">
        <v>932</v>
      </c>
    </row>
    <row r="283" spans="1:18" x14ac:dyDescent="0.25">
      <c r="A283" t="s">
        <v>66</v>
      </c>
      <c r="B283" t="s">
        <v>160</v>
      </c>
      <c r="C283" t="s">
        <v>270</v>
      </c>
      <c r="D283" t="s">
        <v>128</v>
      </c>
      <c r="E283" t="s">
        <v>341</v>
      </c>
      <c r="F283" t="e">
        <f t="shared" ca="1" si="5"/>
        <v>#NAME?</v>
      </c>
      <c r="G283" t="s">
        <v>513</v>
      </c>
      <c r="H283" t="s">
        <v>830</v>
      </c>
      <c r="I283" t="s">
        <v>929</v>
      </c>
      <c r="J283" t="s">
        <v>932</v>
      </c>
    </row>
    <row r="284" spans="1:18" x14ac:dyDescent="0.25">
      <c r="A284" t="s">
        <v>67</v>
      </c>
      <c r="B284" t="s">
        <v>161</v>
      </c>
      <c r="C284" t="s">
        <v>36</v>
      </c>
      <c r="D284" t="s">
        <v>333</v>
      </c>
      <c r="E284" t="s">
        <v>370</v>
      </c>
      <c r="F284" t="e">
        <f t="shared" ca="1" si="5"/>
        <v>#NAME?</v>
      </c>
      <c r="G284" t="s">
        <v>579</v>
      </c>
      <c r="H284" t="s">
        <v>836</v>
      </c>
      <c r="I284">
        <v>189</v>
      </c>
      <c r="J284" t="s">
        <v>932</v>
      </c>
      <c r="K284" t="s">
        <v>935</v>
      </c>
      <c r="L284" t="s">
        <v>935</v>
      </c>
      <c r="M284" t="s">
        <v>935</v>
      </c>
      <c r="Q284" t="s">
        <v>1059</v>
      </c>
      <c r="R284" t="s">
        <v>1166</v>
      </c>
    </row>
    <row r="285" spans="1:18" x14ac:dyDescent="0.25">
      <c r="A285" t="s">
        <v>67</v>
      </c>
      <c r="B285" t="s">
        <v>161</v>
      </c>
      <c r="C285" t="s">
        <v>271</v>
      </c>
      <c r="D285" t="s">
        <v>151</v>
      </c>
      <c r="E285" t="s">
        <v>382</v>
      </c>
      <c r="F285" t="e">
        <f t="shared" ca="1" si="5"/>
        <v>#NAME?</v>
      </c>
      <c r="G285" t="s">
        <v>580</v>
      </c>
      <c r="H285" t="s">
        <v>631</v>
      </c>
      <c r="I285">
        <v>180</v>
      </c>
      <c r="J285" t="s">
        <v>932</v>
      </c>
      <c r="K285" s="1">
        <v>45081</v>
      </c>
      <c r="L285" t="s">
        <v>935</v>
      </c>
      <c r="M285" t="s">
        <v>944</v>
      </c>
      <c r="Q285" t="s">
        <v>1007</v>
      </c>
      <c r="R285" t="s">
        <v>1089</v>
      </c>
    </row>
    <row r="286" spans="1:18" x14ac:dyDescent="0.25">
      <c r="A286" t="s">
        <v>67</v>
      </c>
      <c r="B286" t="s">
        <v>161</v>
      </c>
      <c r="C286" t="s">
        <v>271</v>
      </c>
      <c r="D286" t="s">
        <v>151</v>
      </c>
      <c r="E286" t="s">
        <v>383</v>
      </c>
      <c r="F286" t="e">
        <f t="shared" ca="1" si="5"/>
        <v>#NAME?</v>
      </c>
      <c r="G286" t="s">
        <v>580</v>
      </c>
      <c r="H286" t="s">
        <v>631</v>
      </c>
      <c r="I286">
        <v>180</v>
      </c>
      <c r="J286" t="s">
        <v>932</v>
      </c>
      <c r="K286" t="s">
        <v>935</v>
      </c>
      <c r="L286" s="1">
        <v>45077</v>
      </c>
      <c r="M286" t="s">
        <v>944</v>
      </c>
      <c r="Q286" t="s">
        <v>1007</v>
      </c>
      <c r="R286" t="s">
        <v>1089</v>
      </c>
    </row>
    <row r="287" spans="1:18" x14ac:dyDescent="0.25">
      <c r="A287" t="s">
        <v>67</v>
      </c>
      <c r="B287" t="s">
        <v>161</v>
      </c>
      <c r="C287" t="s">
        <v>58</v>
      </c>
      <c r="D287" t="s">
        <v>153</v>
      </c>
      <c r="E287" t="s">
        <v>384</v>
      </c>
      <c r="F287" t="e">
        <f t="shared" ca="1" si="5"/>
        <v>#NAME?</v>
      </c>
      <c r="G287" t="s">
        <v>581</v>
      </c>
      <c r="H287" t="s">
        <v>629</v>
      </c>
      <c r="I287">
        <v>188</v>
      </c>
      <c r="J287" t="s">
        <v>932</v>
      </c>
      <c r="K287" t="s">
        <v>935</v>
      </c>
      <c r="L287" t="s">
        <v>935</v>
      </c>
      <c r="M287" t="s">
        <v>935</v>
      </c>
      <c r="Q287" t="s">
        <v>1054</v>
      </c>
      <c r="R287" t="s">
        <v>1088</v>
      </c>
    </row>
    <row r="288" spans="1:18" x14ac:dyDescent="0.25">
      <c r="A288" t="s">
        <v>67</v>
      </c>
      <c r="B288" t="s">
        <v>161</v>
      </c>
      <c r="C288" t="s">
        <v>272</v>
      </c>
      <c r="D288" t="s">
        <v>168</v>
      </c>
      <c r="E288" t="s">
        <v>385</v>
      </c>
      <c r="F288" t="e">
        <f t="shared" ca="1" si="5"/>
        <v>#NAME?</v>
      </c>
      <c r="G288" t="s">
        <v>582</v>
      </c>
      <c r="H288" t="s">
        <v>658</v>
      </c>
      <c r="I288">
        <v>111</v>
      </c>
      <c r="J288" t="s">
        <v>932</v>
      </c>
      <c r="K288" s="1">
        <v>45083</v>
      </c>
      <c r="L288" t="s">
        <v>935</v>
      </c>
      <c r="M288" t="s">
        <v>935</v>
      </c>
      <c r="Q288" t="s">
        <v>1060</v>
      </c>
      <c r="R288" t="s">
        <v>1106</v>
      </c>
    </row>
    <row r="289" spans="1:18" x14ac:dyDescent="0.25">
      <c r="A289" t="s">
        <v>67</v>
      </c>
      <c r="B289" t="s">
        <v>161</v>
      </c>
      <c r="C289" t="s">
        <v>272</v>
      </c>
      <c r="D289" t="s">
        <v>168</v>
      </c>
      <c r="E289" t="s">
        <v>386</v>
      </c>
      <c r="F289" t="e">
        <f t="shared" ca="1" si="5"/>
        <v>#NAME?</v>
      </c>
      <c r="G289" t="s">
        <v>582</v>
      </c>
      <c r="H289" t="s">
        <v>658</v>
      </c>
      <c r="I289">
        <v>181</v>
      </c>
      <c r="J289" t="s">
        <v>932</v>
      </c>
      <c r="K289" t="s">
        <v>935</v>
      </c>
      <c r="L289" s="1">
        <v>45079</v>
      </c>
      <c r="M289" t="s">
        <v>935</v>
      </c>
      <c r="Q289" t="s">
        <v>1060</v>
      </c>
      <c r="R289" t="s">
        <v>1106</v>
      </c>
    </row>
    <row r="290" spans="1:18" x14ac:dyDescent="0.25">
      <c r="A290" t="s">
        <v>68</v>
      </c>
      <c r="B290" t="s">
        <v>162</v>
      </c>
      <c r="C290" t="s">
        <v>273</v>
      </c>
      <c r="D290" t="s">
        <v>124</v>
      </c>
      <c r="E290" t="s">
        <v>387</v>
      </c>
      <c r="F290" t="e">
        <f t="shared" ca="1" si="5"/>
        <v>#NAME?</v>
      </c>
      <c r="G290" t="s">
        <v>583</v>
      </c>
      <c r="H290" t="s">
        <v>682</v>
      </c>
      <c r="I290">
        <v>202</v>
      </c>
      <c r="J290" t="s">
        <v>932</v>
      </c>
      <c r="Q290" t="s">
        <v>1061</v>
      </c>
      <c r="R290" t="s">
        <v>1122</v>
      </c>
    </row>
    <row r="291" spans="1:18" x14ac:dyDescent="0.25">
      <c r="A291" t="s">
        <v>69</v>
      </c>
      <c r="B291" t="s">
        <v>163</v>
      </c>
      <c r="C291" t="s">
        <v>24</v>
      </c>
      <c r="D291" t="s">
        <v>119</v>
      </c>
      <c r="E291" t="s">
        <v>388</v>
      </c>
      <c r="F291" t="e">
        <f t="shared" ca="1" si="5"/>
        <v>#NAME?</v>
      </c>
      <c r="G291" t="s">
        <v>584</v>
      </c>
      <c r="H291" t="s">
        <v>837</v>
      </c>
      <c r="I291" s="1">
        <v>680</v>
      </c>
      <c r="J291" t="s">
        <v>932</v>
      </c>
      <c r="Q291" t="s">
        <v>1062</v>
      </c>
      <c r="R291" t="s">
        <v>1012</v>
      </c>
    </row>
    <row r="292" spans="1:18" x14ac:dyDescent="0.25">
      <c r="A292" t="s">
        <v>69</v>
      </c>
      <c r="B292" t="s">
        <v>163</v>
      </c>
      <c r="C292" t="s">
        <v>24</v>
      </c>
      <c r="D292" t="s">
        <v>119</v>
      </c>
      <c r="E292" t="s">
        <v>341</v>
      </c>
      <c r="F292" t="e">
        <f t="shared" ca="1" si="5"/>
        <v>#NAME?</v>
      </c>
      <c r="G292" t="s">
        <v>585</v>
      </c>
      <c r="H292" t="s">
        <v>670</v>
      </c>
      <c r="I292" s="1">
        <v>682</v>
      </c>
      <c r="J292" t="s">
        <v>932</v>
      </c>
      <c r="Q292" t="s">
        <v>1063</v>
      </c>
      <c r="R292" t="s">
        <v>1111</v>
      </c>
    </row>
    <row r="293" spans="1:18" x14ac:dyDescent="0.25">
      <c r="A293" t="s">
        <v>69</v>
      </c>
      <c r="B293" t="s">
        <v>163</v>
      </c>
      <c r="C293" t="s">
        <v>24</v>
      </c>
      <c r="D293" t="s">
        <v>119</v>
      </c>
      <c r="E293" t="s">
        <v>341</v>
      </c>
      <c r="F293" t="e">
        <f t="shared" ca="1" si="5"/>
        <v>#NAME?</v>
      </c>
      <c r="G293" t="s">
        <v>586</v>
      </c>
      <c r="H293" t="s">
        <v>617</v>
      </c>
      <c r="I293" s="1">
        <v>684</v>
      </c>
      <c r="J293" t="s">
        <v>932</v>
      </c>
      <c r="Q293" t="s">
        <v>1064</v>
      </c>
      <c r="R293" t="s">
        <v>1081</v>
      </c>
    </row>
    <row r="294" spans="1:18" x14ac:dyDescent="0.25">
      <c r="A294" t="s">
        <v>69</v>
      </c>
      <c r="B294" t="s">
        <v>163</v>
      </c>
      <c r="C294" t="s">
        <v>24</v>
      </c>
      <c r="D294" t="s">
        <v>119</v>
      </c>
      <c r="E294" t="s">
        <v>341</v>
      </c>
      <c r="F294" t="e">
        <f t="shared" ca="1" si="5"/>
        <v>#NAME?</v>
      </c>
      <c r="G294" t="s">
        <v>587</v>
      </c>
      <c r="H294" t="s">
        <v>602</v>
      </c>
      <c r="I294" s="1">
        <v>686</v>
      </c>
      <c r="J294" t="s">
        <v>932</v>
      </c>
      <c r="Q294" t="s">
        <v>1065</v>
      </c>
      <c r="R294" t="s">
        <v>1056</v>
      </c>
    </row>
    <row r="295" spans="1:18" x14ac:dyDescent="0.25">
      <c r="A295" t="s">
        <v>69</v>
      </c>
      <c r="B295" t="s">
        <v>163</v>
      </c>
      <c r="C295" t="s">
        <v>24</v>
      </c>
      <c r="D295" t="s">
        <v>119</v>
      </c>
      <c r="E295" t="s">
        <v>341</v>
      </c>
      <c r="F295" t="e">
        <f t="shared" ca="1" si="5"/>
        <v>#NAME?</v>
      </c>
      <c r="G295" t="s">
        <v>588</v>
      </c>
      <c r="H295" t="s">
        <v>600</v>
      </c>
      <c r="I295" s="1">
        <v>688</v>
      </c>
      <c r="J295" t="s">
        <v>932</v>
      </c>
      <c r="Q295" t="s">
        <v>1066</v>
      </c>
      <c r="R295" t="s">
        <v>1071</v>
      </c>
    </row>
    <row r="296" spans="1:18" x14ac:dyDescent="0.25">
      <c r="A296" t="s">
        <v>69</v>
      </c>
      <c r="B296" t="s">
        <v>163</v>
      </c>
      <c r="C296" t="s">
        <v>24</v>
      </c>
      <c r="D296" t="s">
        <v>119</v>
      </c>
      <c r="E296" t="s">
        <v>341</v>
      </c>
      <c r="F296" t="e">
        <f t="shared" ca="1" si="5"/>
        <v>#NAME?</v>
      </c>
      <c r="G296" t="s">
        <v>589</v>
      </c>
      <c r="H296" t="s">
        <v>838</v>
      </c>
      <c r="I296" s="1">
        <v>690</v>
      </c>
      <c r="J296" t="s">
        <v>932</v>
      </c>
      <c r="Q296" t="s">
        <v>973</v>
      </c>
      <c r="R296" t="s">
        <v>1137</v>
      </c>
    </row>
    <row r="297" spans="1:18" x14ac:dyDescent="0.25">
      <c r="A297" t="s">
        <v>69</v>
      </c>
      <c r="B297" t="s">
        <v>163</v>
      </c>
      <c r="C297" t="s">
        <v>24</v>
      </c>
      <c r="D297" t="s">
        <v>119</v>
      </c>
      <c r="E297" t="s">
        <v>346</v>
      </c>
      <c r="F297" t="e">
        <f t="shared" ca="1" si="5"/>
        <v>#NAME?</v>
      </c>
      <c r="G297" t="s">
        <v>590</v>
      </c>
      <c r="H297" t="s">
        <v>839</v>
      </c>
      <c r="I297" s="1">
        <v>692</v>
      </c>
      <c r="J297" t="s">
        <v>932</v>
      </c>
      <c r="Q297" t="s">
        <v>1067</v>
      </c>
      <c r="R297" t="s">
        <v>1167</v>
      </c>
    </row>
    <row r="298" spans="1:18" x14ac:dyDescent="0.25">
      <c r="A298" t="s">
        <v>69</v>
      </c>
      <c r="B298" t="s">
        <v>163</v>
      </c>
      <c r="C298" t="s">
        <v>28</v>
      </c>
      <c r="D298" t="s">
        <v>123</v>
      </c>
      <c r="E298" t="s">
        <v>389</v>
      </c>
      <c r="F298" t="e">
        <f t="shared" ca="1" si="5"/>
        <v>#NAME?</v>
      </c>
      <c r="G298" t="s">
        <v>591</v>
      </c>
      <c r="H298" t="s">
        <v>684</v>
      </c>
      <c r="I298">
        <v>78</v>
      </c>
      <c r="J298" t="s">
        <v>932</v>
      </c>
      <c r="Q298" t="s">
        <v>1068</v>
      </c>
      <c r="R298" t="s">
        <v>1041</v>
      </c>
    </row>
    <row r="299" spans="1:18" x14ac:dyDescent="0.25">
      <c r="A299" t="s">
        <v>69</v>
      </c>
      <c r="B299" t="s">
        <v>163</v>
      </c>
      <c r="C299" t="s">
        <v>42</v>
      </c>
      <c r="D299" t="s">
        <v>137</v>
      </c>
      <c r="E299" t="s">
        <v>390</v>
      </c>
      <c r="F299" t="e">
        <f t="shared" ca="1" si="5"/>
        <v>#NAME?</v>
      </c>
      <c r="G299" t="s">
        <v>591</v>
      </c>
      <c r="H299" t="s">
        <v>840</v>
      </c>
      <c r="I299">
        <v>78</v>
      </c>
      <c r="J299" t="s">
        <v>932</v>
      </c>
      <c r="Q299" t="s">
        <v>1068</v>
      </c>
      <c r="R299" t="s">
        <v>1140</v>
      </c>
    </row>
    <row r="300" spans="1:18" x14ac:dyDescent="0.25">
      <c r="A300" t="s">
        <v>69</v>
      </c>
      <c r="B300" t="s">
        <v>163</v>
      </c>
      <c r="C300" t="s">
        <v>218</v>
      </c>
      <c r="E300" t="s">
        <v>341</v>
      </c>
      <c r="F300" t="e">
        <f t="shared" ca="1" si="5"/>
        <v>#NAME?</v>
      </c>
      <c r="G300" t="s">
        <v>592</v>
      </c>
      <c r="H300" t="s">
        <v>841</v>
      </c>
      <c r="I300">
        <v>77</v>
      </c>
      <c r="J300" t="s">
        <v>932</v>
      </c>
      <c r="Q300" t="s">
        <v>1050</v>
      </c>
      <c r="R300" t="s">
        <v>1000</v>
      </c>
    </row>
    <row r="301" spans="1:18" x14ac:dyDescent="0.25">
      <c r="A301" t="s">
        <v>69</v>
      </c>
      <c r="B301" t="s">
        <v>163</v>
      </c>
      <c r="C301" t="s">
        <v>109</v>
      </c>
      <c r="D301" t="s">
        <v>201</v>
      </c>
      <c r="E301" t="s">
        <v>391</v>
      </c>
      <c r="F301" t="e">
        <f t="shared" ca="1" si="5"/>
        <v>#NAME?</v>
      </c>
      <c r="G301" t="s">
        <v>593</v>
      </c>
      <c r="H301" t="s">
        <v>842</v>
      </c>
      <c r="I301">
        <v>76</v>
      </c>
      <c r="J301" t="s">
        <v>932</v>
      </c>
      <c r="Q301" t="s">
        <v>998</v>
      </c>
      <c r="R301" t="s">
        <v>1168</v>
      </c>
    </row>
    <row r="302" spans="1:18" x14ac:dyDescent="0.25">
      <c r="A302" t="s">
        <v>70</v>
      </c>
      <c r="B302" t="s">
        <v>164</v>
      </c>
      <c r="C302" t="s">
        <v>274</v>
      </c>
      <c r="D302" t="s">
        <v>130</v>
      </c>
      <c r="E302" t="s">
        <v>341</v>
      </c>
      <c r="F302" t="e">
        <f t="shared" ca="1" si="5"/>
        <v>#NAME?</v>
      </c>
      <c r="G302" t="s">
        <v>591</v>
      </c>
      <c r="H302" t="s">
        <v>687</v>
      </c>
      <c r="I302">
        <v>556</v>
      </c>
      <c r="J302" t="s">
        <v>932</v>
      </c>
      <c r="Q302" t="s">
        <v>1068</v>
      </c>
      <c r="R302" t="s">
        <v>971</v>
      </c>
    </row>
    <row r="303" spans="1:18" x14ac:dyDescent="0.25">
      <c r="A303" t="s">
        <v>71</v>
      </c>
      <c r="B303" t="s">
        <v>165</v>
      </c>
      <c r="C303" t="s">
        <v>218</v>
      </c>
      <c r="E303" t="s">
        <v>341</v>
      </c>
      <c r="F303" t="e">
        <f t="shared" ca="1" si="5"/>
        <v>#NAME?</v>
      </c>
      <c r="G303" t="s">
        <v>594</v>
      </c>
      <c r="H303" t="s">
        <v>843</v>
      </c>
      <c r="I303">
        <v>206</v>
      </c>
      <c r="J303" t="s">
        <v>932</v>
      </c>
      <c r="K303" s="1">
        <v>45078</v>
      </c>
      <c r="L303" t="s">
        <v>935</v>
      </c>
      <c r="Q303" t="s">
        <v>982</v>
      </c>
      <c r="R303" t="s">
        <v>1169</v>
      </c>
    </row>
    <row r="304" spans="1:18" x14ac:dyDescent="0.25">
      <c r="A304" t="s">
        <v>71</v>
      </c>
      <c r="B304" t="s">
        <v>165</v>
      </c>
      <c r="C304" t="s">
        <v>218</v>
      </c>
      <c r="E304" t="s">
        <v>341</v>
      </c>
      <c r="F304" t="e">
        <f t="shared" ca="1" si="5"/>
        <v>#NAME?</v>
      </c>
      <c r="G304" t="s">
        <v>594</v>
      </c>
      <c r="H304" t="s">
        <v>844</v>
      </c>
      <c r="I304">
        <v>206</v>
      </c>
      <c r="J304" t="s">
        <v>932</v>
      </c>
      <c r="K304" t="s">
        <v>935</v>
      </c>
      <c r="L304" s="1">
        <v>45077</v>
      </c>
      <c r="Q304" t="s">
        <v>982</v>
      </c>
      <c r="R304" t="s">
        <v>1019</v>
      </c>
    </row>
    <row r="305" spans="1:18" x14ac:dyDescent="0.25">
      <c r="A305" t="s">
        <v>72</v>
      </c>
      <c r="B305" t="s">
        <v>166</v>
      </c>
      <c r="C305" t="s">
        <v>261</v>
      </c>
      <c r="D305" t="s">
        <v>148</v>
      </c>
      <c r="E305" t="s">
        <v>341</v>
      </c>
      <c r="F305" t="e">
        <f t="shared" ca="1" si="5"/>
        <v>#NAME?</v>
      </c>
      <c r="G305" t="s">
        <v>595</v>
      </c>
      <c r="H305" t="s">
        <v>599</v>
      </c>
      <c r="I305">
        <v>11</v>
      </c>
      <c r="J305" t="s">
        <v>932</v>
      </c>
      <c r="Q305" t="s">
        <v>1027</v>
      </c>
      <c r="R305" t="s">
        <v>977</v>
      </c>
    </row>
    <row r="306" spans="1:18" x14ac:dyDescent="0.25">
      <c r="A306" t="s">
        <v>72</v>
      </c>
      <c r="B306" t="s">
        <v>166</v>
      </c>
      <c r="C306" t="s">
        <v>66</v>
      </c>
      <c r="D306" t="s">
        <v>160</v>
      </c>
      <c r="E306" t="s">
        <v>341</v>
      </c>
      <c r="F306" t="e">
        <f t="shared" ca="1" si="5"/>
        <v>#NAME?</v>
      </c>
      <c r="G306" t="s">
        <v>596</v>
      </c>
      <c r="H306" t="s">
        <v>647</v>
      </c>
      <c r="I306">
        <v>435</v>
      </c>
      <c r="J306" t="s">
        <v>932</v>
      </c>
      <c r="Q306" t="s">
        <v>1069</v>
      </c>
      <c r="R306" t="s">
        <v>1022</v>
      </c>
    </row>
    <row r="307" spans="1:18" x14ac:dyDescent="0.25">
      <c r="A307" t="s">
        <v>72</v>
      </c>
      <c r="B307" t="s">
        <v>166</v>
      </c>
      <c r="C307" t="s">
        <v>66</v>
      </c>
      <c r="D307" t="s">
        <v>160</v>
      </c>
      <c r="E307" t="s">
        <v>341</v>
      </c>
      <c r="F307" t="e">
        <f t="shared" ca="1" si="5"/>
        <v>#NAME?</v>
      </c>
      <c r="G307" t="s">
        <v>597</v>
      </c>
      <c r="H307" t="s">
        <v>590</v>
      </c>
      <c r="I307">
        <v>728</v>
      </c>
      <c r="J307" t="s">
        <v>932</v>
      </c>
      <c r="Q307" t="s">
        <v>1070</v>
      </c>
      <c r="R307" t="s">
        <v>1067</v>
      </c>
    </row>
    <row r="308" spans="1:18" x14ac:dyDescent="0.25">
      <c r="A308" t="s">
        <v>72</v>
      </c>
      <c r="B308" t="s">
        <v>166</v>
      </c>
      <c r="C308" t="s">
        <v>275</v>
      </c>
      <c r="E308" t="s">
        <v>341</v>
      </c>
      <c r="F308" t="e">
        <f t="shared" ca="1" si="5"/>
        <v>#NAME?</v>
      </c>
      <c r="G308" t="s">
        <v>592</v>
      </c>
      <c r="H308" t="s">
        <v>845</v>
      </c>
      <c r="I308">
        <v>588</v>
      </c>
      <c r="J308" t="s">
        <v>932</v>
      </c>
      <c r="Q308" t="s">
        <v>1050</v>
      </c>
      <c r="R308" t="s">
        <v>1170</v>
      </c>
    </row>
    <row r="309" spans="1:18" x14ac:dyDescent="0.25">
      <c r="A309" t="s">
        <v>72</v>
      </c>
      <c r="B309" t="s">
        <v>167</v>
      </c>
      <c r="C309" t="s">
        <v>276</v>
      </c>
      <c r="D309" t="s">
        <v>185</v>
      </c>
      <c r="E309" t="s">
        <v>341</v>
      </c>
      <c r="F309" t="e">
        <f t="shared" ca="1" si="5"/>
        <v>#NAME?</v>
      </c>
      <c r="G309" t="s">
        <v>598</v>
      </c>
      <c r="H309" t="s">
        <v>846</v>
      </c>
      <c r="I309">
        <v>589</v>
      </c>
      <c r="J309" t="s">
        <v>932</v>
      </c>
      <c r="Q309" t="s">
        <v>974</v>
      </c>
      <c r="R309" t="s">
        <v>1058</v>
      </c>
    </row>
    <row r="310" spans="1:18" x14ac:dyDescent="0.25">
      <c r="A310" t="s">
        <v>73</v>
      </c>
      <c r="B310" t="s">
        <v>168</v>
      </c>
      <c r="C310" t="s">
        <v>17</v>
      </c>
      <c r="D310" t="s">
        <v>111</v>
      </c>
      <c r="E310" t="s">
        <v>339</v>
      </c>
      <c r="F310" t="e">
        <f t="shared" ca="1" si="5"/>
        <v>#NAME?</v>
      </c>
      <c r="G310" t="s">
        <v>599</v>
      </c>
      <c r="H310" t="s">
        <v>847</v>
      </c>
      <c r="I310">
        <v>920</v>
      </c>
      <c r="J310" t="s">
        <v>932</v>
      </c>
      <c r="Q310" t="s">
        <v>977</v>
      </c>
      <c r="R310" t="s">
        <v>1029</v>
      </c>
    </row>
    <row r="311" spans="1:18" x14ac:dyDescent="0.25">
      <c r="A311" t="s">
        <v>73</v>
      </c>
      <c r="B311" t="s">
        <v>168</v>
      </c>
      <c r="C311" t="s">
        <v>17</v>
      </c>
      <c r="D311" t="s">
        <v>111</v>
      </c>
      <c r="E311" t="s">
        <v>338</v>
      </c>
      <c r="F311" t="e">
        <f t="shared" ca="1" si="5"/>
        <v>#NAME?</v>
      </c>
      <c r="G311" t="s">
        <v>587</v>
      </c>
      <c r="H311" t="s">
        <v>848</v>
      </c>
      <c r="I311">
        <v>943</v>
      </c>
      <c r="J311" t="s">
        <v>932</v>
      </c>
      <c r="Q311" t="s">
        <v>1065</v>
      </c>
      <c r="R311" t="s">
        <v>1161</v>
      </c>
    </row>
    <row r="312" spans="1:18" x14ac:dyDescent="0.25">
      <c r="A312" t="s">
        <v>73</v>
      </c>
      <c r="B312" t="s">
        <v>168</v>
      </c>
      <c r="C312" t="s">
        <v>17</v>
      </c>
      <c r="D312" t="s">
        <v>111</v>
      </c>
      <c r="E312" t="s">
        <v>339</v>
      </c>
      <c r="F312" t="e">
        <f t="shared" ca="1" si="5"/>
        <v>#NAME?</v>
      </c>
      <c r="G312" t="s">
        <v>600</v>
      </c>
      <c r="H312" t="s">
        <v>849</v>
      </c>
      <c r="I312">
        <v>926</v>
      </c>
      <c r="J312" t="s">
        <v>932</v>
      </c>
      <c r="Q312" t="s">
        <v>1071</v>
      </c>
      <c r="R312" t="s">
        <v>1171</v>
      </c>
    </row>
    <row r="313" spans="1:18" x14ac:dyDescent="0.25">
      <c r="A313" t="s">
        <v>73</v>
      </c>
      <c r="B313" t="s">
        <v>168</v>
      </c>
      <c r="C313" t="s">
        <v>17</v>
      </c>
      <c r="D313" t="s">
        <v>111</v>
      </c>
      <c r="E313" t="s">
        <v>341</v>
      </c>
      <c r="F313" t="e">
        <f t="shared" ca="1" si="5"/>
        <v>#NAME?</v>
      </c>
      <c r="G313" t="s">
        <v>590</v>
      </c>
      <c r="H313" t="s">
        <v>656</v>
      </c>
      <c r="I313">
        <v>918</v>
      </c>
      <c r="J313" t="s">
        <v>932</v>
      </c>
      <c r="Q313" t="s">
        <v>1067</v>
      </c>
      <c r="R313" t="s">
        <v>1104</v>
      </c>
    </row>
    <row r="314" spans="1:18" x14ac:dyDescent="0.25">
      <c r="A314" t="s">
        <v>73</v>
      </c>
      <c r="B314" t="s">
        <v>168</v>
      </c>
      <c r="C314" t="s">
        <v>18</v>
      </c>
      <c r="D314" t="s">
        <v>112</v>
      </c>
      <c r="E314" t="s">
        <v>392</v>
      </c>
      <c r="F314" t="e">
        <f t="shared" ca="1" si="5"/>
        <v>#NAME?</v>
      </c>
      <c r="G314" t="s">
        <v>596</v>
      </c>
      <c r="H314" t="s">
        <v>850</v>
      </c>
      <c r="I314">
        <v>229</v>
      </c>
      <c r="J314" t="s">
        <v>932</v>
      </c>
      <c r="Q314" t="s">
        <v>1069</v>
      </c>
      <c r="R314" t="s">
        <v>1141</v>
      </c>
    </row>
    <row r="315" spans="1:18" x14ac:dyDescent="0.25">
      <c r="A315" t="s">
        <v>73</v>
      </c>
      <c r="B315" t="s">
        <v>168</v>
      </c>
      <c r="C315" t="s">
        <v>277</v>
      </c>
      <c r="D315" t="s">
        <v>113</v>
      </c>
      <c r="E315" t="s">
        <v>393</v>
      </c>
      <c r="F315" t="e">
        <f t="shared" ca="1" si="5"/>
        <v>#NAME?</v>
      </c>
      <c r="G315" t="s">
        <v>601</v>
      </c>
      <c r="H315" t="s">
        <v>851</v>
      </c>
      <c r="I315">
        <v>973</v>
      </c>
      <c r="J315" t="s">
        <v>932</v>
      </c>
      <c r="Q315" t="s">
        <v>1033</v>
      </c>
      <c r="R315" t="s">
        <v>1146</v>
      </c>
    </row>
    <row r="316" spans="1:18" x14ac:dyDescent="0.25">
      <c r="A316" t="s">
        <v>73</v>
      </c>
      <c r="B316" t="s">
        <v>168</v>
      </c>
      <c r="C316" t="s">
        <v>277</v>
      </c>
      <c r="D316" t="s">
        <v>113</v>
      </c>
      <c r="E316" t="s">
        <v>394</v>
      </c>
      <c r="F316" t="e">
        <f t="shared" ca="1" si="5"/>
        <v>#NAME?</v>
      </c>
      <c r="G316" t="s">
        <v>592</v>
      </c>
      <c r="H316" t="s">
        <v>852</v>
      </c>
      <c r="I316">
        <v>975</v>
      </c>
      <c r="J316" t="s">
        <v>932</v>
      </c>
      <c r="Q316" t="s">
        <v>1050</v>
      </c>
      <c r="R316" t="s">
        <v>1023</v>
      </c>
    </row>
    <row r="317" spans="1:18" x14ac:dyDescent="0.25">
      <c r="A317" t="s">
        <v>73</v>
      </c>
      <c r="B317" t="s">
        <v>168</v>
      </c>
      <c r="C317" t="s">
        <v>277</v>
      </c>
      <c r="D317" t="s">
        <v>113</v>
      </c>
      <c r="E317" t="s">
        <v>393</v>
      </c>
      <c r="F317" t="e">
        <f t="shared" ca="1" si="5"/>
        <v>#NAME?</v>
      </c>
      <c r="G317" t="s">
        <v>602</v>
      </c>
      <c r="H317" t="s">
        <v>631</v>
      </c>
      <c r="I317">
        <v>979</v>
      </c>
      <c r="J317" t="s">
        <v>932</v>
      </c>
      <c r="Q317" t="s">
        <v>1056</v>
      </c>
      <c r="R317" t="s">
        <v>1089</v>
      </c>
    </row>
    <row r="318" spans="1:18" x14ac:dyDescent="0.25">
      <c r="A318" t="s">
        <v>73</v>
      </c>
      <c r="B318" t="s">
        <v>168</v>
      </c>
      <c r="C318" t="s">
        <v>277</v>
      </c>
      <c r="D318" t="s">
        <v>113</v>
      </c>
      <c r="E318" t="s">
        <v>394</v>
      </c>
      <c r="F318" t="e">
        <f t="shared" ca="1" si="5"/>
        <v>#NAME?</v>
      </c>
      <c r="G318" t="s">
        <v>603</v>
      </c>
      <c r="H318" t="s">
        <v>853</v>
      </c>
      <c r="I318">
        <v>977</v>
      </c>
      <c r="J318" t="s">
        <v>932</v>
      </c>
      <c r="Q318" t="s">
        <v>1072</v>
      </c>
      <c r="R318" t="s">
        <v>1172</v>
      </c>
    </row>
    <row r="319" spans="1:18" x14ac:dyDescent="0.25">
      <c r="A319" t="s">
        <v>73</v>
      </c>
      <c r="B319" t="s">
        <v>168</v>
      </c>
      <c r="C319" t="s">
        <v>22</v>
      </c>
      <c r="D319" t="s">
        <v>117</v>
      </c>
      <c r="E319" t="s">
        <v>393</v>
      </c>
      <c r="F319" t="e">
        <f t="shared" ca="1" si="5"/>
        <v>#NAME?</v>
      </c>
      <c r="G319" t="s">
        <v>604</v>
      </c>
      <c r="H319" t="s">
        <v>657</v>
      </c>
      <c r="I319">
        <v>219</v>
      </c>
      <c r="J319" t="s">
        <v>932</v>
      </c>
      <c r="Q319" t="s">
        <v>1073</v>
      </c>
      <c r="R319" t="s">
        <v>1105</v>
      </c>
    </row>
    <row r="320" spans="1:18" x14ac:dyDescent="0.25">
      <c r="A320" t="s">
        <v>73</v>
      </c>
      <c r="B320" t="s">
        <v>168</v>
      </c>
      <c r="C320" t="s">
        <v>25</v>
      </c>
      <c r="D320" t="s">
        <v>119</v>
      </c>
      <c r="E320" t="s">
        <v>393</v>
      </c>
      <c r="F320" t="e">
        <f t="shared" ca="1" si="5"/>
        <v>#NAME?</v>
      </c>
      <c r="G320" t="s">
        <v>605</v>
      </c>
      <c r="H320" t="s">
        <v>684</v>
      </c>
      <c r="I320">
        <v>130</v>
      </c>
      <c r="J320" t="s">
        <v>932</v>
      </c>
      <c r="Q320" t="s">
        <v>990</v>
      </c>
      <c r="R320" t="s">
        <v>1041</v>
      </c>
    </row>
    <row r="321" spans="1:18" x14ac:dyDescent="0.25">
      <c r="A321" t="s">
        <v>73</v>
      </c>
      <c r="B321" t="s">
        <v>168</v>
      </c>
      <c r="C321" t="s">
        <v>278</v>
      </c>
      <c r="D321" t="s">
        <v>334</v>
      </c>
      <c r="E321" t="s">
        <v>393</v>
      </c>
      <c r="F321" t="e">
        <f t="shared" ca="1" si="5"/>
        <v>#NAME?</v>
      </c>
      <c r="G321" t="s">
        <v>601</v>
      </c>
      <c r="H321" t="s">
        <v>854</v>
      </c>
      <c r="I321">
        <v>202</v>
      </c>
      <c r="J321" t="s">
        <v>932</v>
      </c>
      <c r="Q321" t="s">
        <v>1033</v>
      </c>
      <c r="R321" t="s">
        <v>996</v>
      </c>
    </row>
    <row r="322" spans="1:18" x14ac:dyDescent="0.25">
      <c r="A322" t="s">
        <v>73</v>
      </c>
      <c r="B322" t="s">
        <v>168</v>
      </c>
      <c r="C322" t="s">
        <v>278</v>
      </c>
      <c r="D322" t="s">
        <v>334</v>
      </c>
      <c r="E322" t="s">
        <v>393</v>
      </c>
      <c r="F322" t="e">
        <f t="shared" ca="1" si="5"/>
        <v>#NAME?</v>
      </c>
      <c r="G322" t="s">
        <v>606</v>
      </c>
      <c r="H322" t="s">
        <v>855</v>
      </c>
      <c r="I322">
        <v>530</v>
      </c>
      <c r="J322" t="s">
        <v>932</v>
      </c>
      <c r="Q322" t="s">
        <v>976</v>
      </c>
      <c r="R322" t="s">
        <v>1025</v>
      </c>
    </row>
    <row r="323" spans="1:18" x14ac:dyDescent="0.25">
      <c r="A323" t="s">
        <v>73</v>
      </c>
      <c r="B323" t="s">
        <v>168</v>
      </c>
      <c r="C323" t="s">
        <v>278</v>
      </c>
      <c r="D323" t="s">
        <v>334</v>
      </c>
      <c r="E323" t="s">
        <v>393</v>
      </c>
      <c r="F323" t="e">
        <f t="shared" ref="F323:F386" ca="1" si="6">ConvertToOAG(E323)</f>
        <v>#NAME?</v>
      </c>
      <c r="G323" t="s">
        <v>607</v>
      </c>
      <c r="H323" t="s">
        <v>619</v>
      </c>
      <c r="I323">
        <v>220</v>
      </c>
      <c r="J323" t="s">
        <v>932</v>
      </c>
      <c r="Q323" t="s">
        <v>1074</v>
      </c>
      <c r="R323" t="s">
        <v>1082</v>
      </c>
    </row>
    <row r="324" spans="1:18" x14ac:dyDescent="0.25">
      <c r="A324" t="s">
        <v>73</v>
      </c>
      <c r="B324" t="s">
        <v>168</v>
      </c>
      <c r="C324" t="s">
        <v>278</v>
      </c>
      <c r="D324" t="s">
        <v>334</v>
      </c>
      <c r="E324" t="s">
        <v>393</v>
      </c>
      <c r="F324" t="e">
        <f t="shared" ca="1" si="6"/>
        <v>#NAME?</v>
      </c>
      <c r="G324" t="s">
        <v>608</v>
      </c>
      <c r="H324" t="s">
        <v>656</v>
      </c>
      <c r="I324">
        <v>208</v>
      </c>
      <c r="J324" t="s">
        <v>932</v>
      </c>
      <c r="Q324" t="s">
        <v>1036</v>
      </c>
      <c r="R324" t="s">
        <v>1104</v>
      </c>
    </row>
    <row r="325" spans="1:18" x14ac:dyDescent="0.25">
      <c r="A325" t="s">
        <v>73</v>
      </c>
      <c r="B325" t="s">
        <v>168</v>
      </c>
      <c r="C325" t="s">
        <v>246</v>
      </c>
      <c r="D325" t="s">
        <v>140</v>
      </c>
      <c r="E325" t="s">
        <v>341</v>
      </c>
      <c r="F325" t="e">
        <f t="shared" ca="1" si="6"/>
        <v>#NAME?</v>
      </c>
      <c r="G325" t="s">
        <v>609</v>
      </c>
      <c r="H325" t="s">
        <v>856</v>
      </c>
      <c r="I325">
        <v>72</v>
      </c>
      <c r="J325" t="s">
        <v>932</v>
      </c>
      <c r="Q325" t="s">
        <v>1003</v>
      </c>
      <c r="R325" t="s">
        <v>1006</v>
      </c>
    </row>
    <row r="326" spans="1:18" x14ac:dyDescent="0.25">
      <c r="A326" t="s">
        <v>74</v>
      </c>
      <c r="B326" t="s">
        <v>168</v>
      </c>
      <c r="C326" t="s">
        <v>246</v>
      </c>
      <c r="D326" t="s">
        <v>140</v>
      </c>
      <c r="E326" t="s">
        <v>341</v>
      </c>
      <c r="F326" t="e">
        <f t="shared" ca="1" si="6"/>
        <v>#NAME?</v>
      </c>
      <c r="G326" t="s">
        <v>610</v>
      </c>
      <c r="H326" t="s">
        <v>857</v>
      </c>
      <c r="I326">
        <v>66</v>
      </c>
      <c r="J326" t="s">
        <v>932</v>
      </c>
      <c r="Q326" t="s">
        <v>1075</v>
      </c>
      <c r="R326" t="s">
        <v>1064</v>
      </c>
    </row>
    <row r="327" spans="1:18" x14ac:dyDescent="0.25">
      <c r="A327" t="s">
        <v>74</v>
      </c>
      <c r="B327" t="s">
        <v>168</v>
      </c>
      <c r="C327" t="s">
        <v>279</v>
      </c>
      <c r="D327" t="s">
        <v>145</v>
      </c>
      <c r="E327" t="s">
        <v>341</v>
      </c>
      <c r="F327" t="e">
        <f t="shared" ca="1" si="6"/>
        <v>#NAME?</v>
      </c>
      <c r="G327" t="s">
        <v>593</v>
      </c>
      <c r="H327" t="s">
        <v>674</v>
      </c>
      <c r="I327">
        <v>941</v>
      </c>
      <c r="J327" t="s">
        <v>932</v>
      </c>
      <c r="Q327" t="s">
        <v>998</v>
      </c>
      <c r="R327" t="s">
        <v>1114</v>
      </c>
    </row>
    <row r="328" spans="1:18" x14ac:dyDescent="0.25">
      <c r="A328" t="s">
        <v>74</v>
      </c>
      <c r="B328" t="s">
        <v>168</v>
      </c>
      <c r="C328" t="s">
        <v>279</v>
      </c>
      <c r="D328" t="s">
        <v>145</v>
      </c>
      <c r="E328" t="s">
        <v>341</v>
      </c>
      <c r="F328" t="e">
        <f t="shared" ca="1" si="6"/>
        <v>#NAME?</v>
      </c>
      <c r="G328" t="s">
        <v>611</v>
      </c>
      <c r="H328" t="s">
        <v>615</v>
      </c>
      <c r="I328">
        <v>915</v>
      </c>
      <c r="J328" t="s">
        <v>932</v>
      </c>
      <c r="Q328" t="s">
        <v>1076</v>
      </c>
      <c r="R328" t="s">
        <v>1079</v>
      </c>
    </row>
    <row r="329" spans="1:18" x14ac:dyDescent="0.25">
      <c r="A329" t="s">
        <v>74</v>
      </c>
      <c r="B329" t="s">
        <v>168</v>
      </c>
      <c r="C329" t="s">
        <v>279</v>
      </c>
      <c r="D329" t="s">
        <v>145</v>
      </c>
      <c r="E329" t="s">
        <v>341</v>
      </c>
      <c r="F329" t="e">
        <f t="shared" ca="1" si="6"/>
        <v>#NAME?</v>
      </c>
      <c r="G329" t="s">
        <v>612</v>
      </c>
      <c r="H329" t="s">
        <v>636</v>
      </c>
      <c r="I329">
        <v>917</v>
      </c>
      <c r="J329" t="s">
        <v>932</v>
      </c>
      <c r="Q329" t="s">
        <v>1077</v>
      </c>
      <c r="R329" t="s">
        <v>1094</v>
      </c>
    </row>
    <row r="330" spans="1:18" x14ac:dyDescent="0.25">
      <c r="A330" t="s">
        <v>74</v>
      </c>
      <c r="B330" t="s">
        <v>168</v>
      </c>
      <c r="C330" t="s">
        <v>279</v>
      </c>
      <c r="D330" t="s">
        <v>145</v>
      </c>
      <c r="E330" t="s">
        <v>341</v>
      </c>
      <c r="F330" t="e">
        <f t="shared" ca="1" si="6"/>
        <v>#NAME?</v>
      </c>
      <c r="G330" t="s">
        <v>613</v>
      </c>
      <c r="H330" t="s">
        <v>858</v>
      </c>
      <c r="I330">
        <v>919</v>
      </c>
      <c r="J330" t="s">
        <v>932</v>
      </c>
      <c r="Q330" t="s">
        <v>1078</v>
      </c>
      <c r="R330" t="s">
        <v>1173</v>
      </c>
    </row>
    <row r="331" spans="1:18" x14ac:dyDescent="0.25">
      <c r="A331" t="s">
        <v>74</v>
      </c>
      <c r="B331" t="s">
        <v>168</v>
      </c>
      <c r="C331" t="s">
        <v>252</v>
      </c>
      <c r="D331" t="s">
        <v>148</v>
      </c>
      <c r="E331" t="s">
        <v>341</v>
      </c>
      <c r="F331" t="e">
        <f t="shared" ca="1" si="6"/>
        <v>#NAME?</v>
      </c>
      <c r="G331" t="s">
        <v>614</v>
      </c>
      <c r="H331" t="s">
        <v>859</v>
      </c>
      <c r="I331">
        <v>25</v>
      </c>
      <c r="J331" t="s">
        <v>932</v>
      </c>
      <c r="Q331" t="s">
        <v>987</v>
      </c>
      <c r="R331" t="s">
        <v>988</v>
      </c>
    </row>
    <row r="332" spans="1:18" x14ac:dyDescent="0.25">
      <c r="A332" t="s">
        <v>74</v>
      </c>
      <c r="B332" t="s">
        <v>168</v>
      </c>
      <c r="C332" t="s">
        <v>252</v>
      </c>
      <c r="D332" t="s">
        <v>148</v>
      </c>
      <c r="E332" t="s">
        <v>341</v>
      </c>
      <c r="F332" t="e">
        <f t="shared" ca="1" si="6"/>
        <v>#NAME?</v>
      </c>
      <c r="G332" t="s">
        <v>609</v>
      </c>
      <c r="H332" t="s">
        <v>860</v>
      </c>
      <c r="I332">
        <v>51</v>
      </c>
      <c r="J332" t="s">
        <v>932</v>
      </c>
      <c r="Q332" t="s">
        <v>1003</v>
      </c>
      <c r="R332" t="s">
        <v>1174</v>
      </c>
    </row>
    <row r="333" spans="1:18" x14ac:dyDescent="0.25">
      <c r="A333" t="s">
        <v>74</v>
      </c>
      <c r="B333" t="s">
        <v>168</v>
      </c>
      <c r="C333" t="s">
        <v>280</v>
      </c>
      <c r="D333" t="s">
        <v>335</v>
      </c>
      <c r="E333" t="s">
        <v>341</v>
      </c>
      <c r="F333" t="e">
        <f t="shared" ca="1" si="6"/>
        <v>#NAME?</v>
      </c>
      <c r="G333" t="s">
        <v>615</v>
      </c>
      <c r="H333" t="s">
        <v>602</v>
      </c>
      <c r="I333">
        <v>956</v>
      </c>
      <c r="J333" t="s">
        <v>932</v>
      </c>
      <c r="Q333" t="s">
        <v>1079</v>
      </c>
      <c r="R333" t="s">
        <v>1056</v>
      </c>
    </row>
    <row r="334" spans="1:18" x14ac:dyDescent="0.25">
      <c r="A334" t="s">
        <v>74</v>
      </c>
      <c r="B334" t="s">
        <v>168</v>
      </c>
      <c r="C334" t="s">
        <v>280</v>
      </c>
      <c r="D334" t="s">
        <v>335</v>
      </c>
      <c r="E334" t="s">
        <v>349</v>
      </c>
      <c r="F334" t="e">
        <f t="shared" ca="1" si="6"/>
        <v>#NAME?</v>
      </c>
      <c r="G334" t="s">
        <v>616</v>
      </c>
      <c r="H334" t="s">
        <v>579</v>
      </c>
      <c r="I334">
        <v>928</v>
      </c>
      <c r="J334" t="s">
        <v>932</v>
      </c>
      <c r="Q334" t="s">
        <v>1080</v>
      </c>
      <c r="R334" t="s">
        <v>1059</v>
      </c>
    </row>
    <row r="335" spans="1:18" x14ac:dyDescent="0.25">
      <c r="A335" t="s">
        <v>74</v>
      </c>
      <c r="B335" t="s">
        <v>168</v>
      </c>
      <c r="C335" t="s">
        <v>222</v>
      </c>
      <c r="D335" t="s">
        <v>160</v>
      </c>
      <c r="E335" t="s">
        <v>341</v>
      </c>
      <c r="F335" t="e">
        <f t="shared" ca="1" si="6"/>
        <v>#NAME?</v>
      </c>
      <c r="G335" t="s">
        <v>596</v>
      </c>
      <c r="H335" t="s">
        <v>674</v>
      </c>
      <c r="I335">
        <v>403</v>
      </c>
      <c r="J335" t="s">
        <v>932</v>
      </c>
      <c r="Q335" t="s">
        <v>1069</v>
      </c>
      <c r="R335" t="s">
        <v>1114</v>
      </c>
    </row>
    <row r="336" spans="1:18" x14ac:dyDescent="0.25">
      <c r="A336" t="s">
        <v>75</v>
      </c>
      <c r="B336" t="s">
        <v>169</v>
      </c>
      <c r="C336" t="s">
        <v>222</v>
      </c>
      <c r="D336" t="s">
        <v>160</v>
      </c>
      <c r="E336" t="s">
        <v>341</v>
      </c>
      <c r="F336" t="e">
        <f t="shared" ca="1" si="6"/>
        <v>#NAME?</v>
      </c>
      <c r="G336" t="s">
        <v>605</v>
      </c>
      <c r="H336" t="s">
        <v>861</v>
      </c>
      <c r="I336">
        <v>241</v>
      </c>
      <c r="J336" t="s">
        <v>932</v>
      </c>
      <c r="Q336" t="s">
        <v>990</v>
      </c>
      <c r="R336" t="s">
        <v>1175</v>
      </c>
    </row>
    <row r="337" spans="1:18" x14ac:dyDescent="0.25">
      <c r="A337" t="s">
        <v>74</v>
      </c>
      <c r="B337" t="s">
        <v>168</v>
      </c>
      <c r="C337" t="s">
        <v>222</v>
      </c>
      <c r="D337" t="s">
        <v>160</v>
      </c>
      <c r="E337" t="s">
        <v>341</v>
      </c>
      <c r="F337" t="e">
        <f t="shared" ca="1" si="6"/>
        <v>#NAME?</v>
      </c>
      <c r="G337" t="s">
        <v>617</v>
      </c>
      <c r="H337" t="s">
        <v>638</v>
      </c>
      <c r="I337">
        <v>405</v>
      </c>
      <c r="J337" t="s">
        <v>932</v>
      </c>
      <c r="Q337" t="s">
        <v>1081</v>
      </c>
      <c r="R337" t="s">
        <v>972</v>
      </c>
    </row>
    <row r="338" spans="1:18" x14ac:dyDescent="0.25">
      <c r="A338" t="s">
        <v>76</v>
      </c>
      <c r="B338" t="s">
        <v>170</v>
      </c>
      <c r="C338" t="s">
        <v>222</v>
      </c>
      <c r="D338" t="s">
        <v>160</v>
      </c>
      <c r="E338" t="s">
        <v>341</v>
      </c>
      <c r="F338" t="e">
        <f t="shared" ca="1" si="6"/>
        <v>#NAME?</v>
      </c>
      <c r="G338" t="s">
        <v>618</v>
      </c>
      <c r="H338" t="s">
        <v>621</v>
      </c>
      <c r="I338">
        <v>277</v>
      </c>
      <c r="J338" t="s">
        <v>932</v>
      </c>
      <c r="L338" s="1">
        <v>45077</v>
      </c>
      <c r="Q338" t="s">
        <v>1051</v>
      </c>
      <c r="R338" t="s">
        <v>1083</v>
      </c>
    </row>
    <row r="339" spans="1:18" x14ac:dyDescent="0.25">
      <c r="A339" t="s">
        <v>74</v>
      </c>
      <c r="B339" t="s">
        <v>168</v>
      </c>
      <c r="C339" t="s">
        <v>222</v>
      </c>
      <c r="D339" t="s">
        <v>160</v>
      </c>
      <c r="E339" t="s">
        <v>341</v>
      </c>
      <c r="F339" t="e">
        <f t="shared" ca="1" si="6"/>
        <v>#NAME?</v>
      </c>
      <c r="G339" t="s">
        <v>619</v>
      </c>
      <c r="H339" t="s">
        <v>654</v>
      </c>
      <c r="I339">
        <v>115</v>
      </c>
      <c r="J339" t="s">
        <v>932</v>
      </c>
      <c r="Q339" t="s">
        <v>1082</v>
      </c>
      <c r="R339" t="s">
        <v>1004</v>
      </c>
    </row>
    <row r="340" spans="1:18" x14ac:dyDescent="0.25">
      <c r="A340" t="s">
        <v>75</v>
      </c>
      <c r="B340" t="s">
        <v>169</v>
      </c>
      <c r="C340" t="s">
        <v>222</v>
      </c>
      <c r="D340" t="s">
        <v>160</v>
      </c>
      <c r="E340" t="s">
        <v>341</v>
      </c>
      <c r="F340" t="e">
        <f t="shared" ca="1" si="6"/>
        <v>#NAME?</v>
      </c>
      <c r="G340" t="s">
        <v>620</v>
      </c>
      <c r="H340" t="s">
        <v>862</v>
      </c>
      <c r="I340">
        <v>249</v>
      </c>
      <c r="J340" t="s">
        <v>932</v>
      </c>
      <c r="Q340" t="s">
        <v>983</v>
      </c>
      <c r="R340" t="s">
        <v>1176</v>
      </c>
    </row>
    <row r="341" spans="1:18" x14ac:dyDescent="0.25">
      <c r="A341" t="s">
        <v>76</v>
      </c>
      <c r="B341" t="s">
        <v>170</v>
      </c>
      <c r="C341" t="s">
        <v>222</v>
      </c>
      <c r="D341" t="s">
        <v>160</v>
      </c>
      <c r="E341" t="s">
        <v>341</v>
      </c>
      <c r="F341" t="e">
        <f t="shared" ca="1" si="6"/>
        <v>#NAME?</v>
      </c>
      <c r="G341" t="s">
        <v>609</v>
      </c>
      <c r="H341" t="s">
        <v>590</v>
      </c>
      <c r="I341">
        <v>277</v>
      </c>
      <c r="J341" t="s">
        <v>932</v>
      </c>
      <c r="K341" s="1">
        <v>45078</v>
      </c>
      <c r="Q341" t="s">
        <v>1003</v>
      </c>
      <c r="R341" t="s">
        <v>1067</v>
      </c>
    </row>
    <row r="342" spans="1:18" x14ac:dyDescent="0.25">
      <c r="A342" t="s">
        <v>74</v>
      </c>
      <c r="B342" t="s">
        <v>168</v>
      </c>
      <c r="C342" t="s">
        <v>219</v>
      </c>
      <c r="D342" t="s">
        <v>161</v>
      </c>
      <c r="E342" t="s">
        <v>359</v>
      </c>
      <c r="F342" t="e">
        <f t="shared" ca="1" si="6"/>
        <v>#NAME?</v>
      </c>
      <c r="G342" t="s">
        <v>621</v>
      </c>
      <c r="H342" t="s">
        <v>666</v>
      </c>
      <c r="I342">
        <v>180</v>
      </c>
      <c r="J342" t="s">
        <v>932</v>
      </c>
      <c r="K342" s="1">
        <v>45080</v>
      </c>
      <c r="Q342" t="s">
        <v>1083</v>
      </c>
      <c r="R342" t="s">
        <v>1108</v>
      </c>
    </row>
    <row r="343" spans="1:18" x14ac:dyDescent="0.25">
      <c r="A343" t="s">
        <v>74</v>
      </c>
      <c r="B343" t="s">
        <v>168</v>
      </c>
      <c r="C343" t="s">
        <v>219</v>
      </c>
      <c r="D343" t="s">
        <v>161</v>
      </c>
      <c r="E343" t="s">
        <v>395</v>
      </c>
      <c r="F343" t="e">
        <f t="shared" ca="1" si="6"/>
        <v>#NAME?</v>
      </c>
      <c r="G343" t="s">
        <v>621</v>
      </c>
      <c r="H343" t="s">
        <v>666</v>
      </c>
      <c r="I343">
        <v>180</v>
      </c>
      <c r="J343" t="s">
        <v>932</v>
      </c>
      <c r="L343" s="1">
        <v>45076</v>
      </c>
      <c r="Q343" t="s">
        <v>1083</v>
      </c>
      <c r="R343" t="s">
        <v>1108</v>
      </c>
    </row>
    <row r="344" spans="1:18" x14ac:dyDescent="0.25">
      <c r="A344" t="s">
        <v>74</v>
      </c>
      <c r="B344" t="s">
        <v>168</v>
      </c>
      <c r="C344" t="s">
        <v>281</v>
      </c>
      <c r="D344" t="s">
        <v>163</v>
      </c>
      <c r="E344" t="s">
        <v>341</v>
      </c>
      <c r="F344" t="e">
        <f t="shared" ca="1" si="6"/>
        <v>#NAME?</v>
      </c>
      <c r="G344" t="s">
        <v>622</v>
      </c>
      <c r="H344" t="s">
        <v>652</v>
      </c>
      <c r="I344">
        <v>78</v>
      </c>
      <c r="J344" t="s">
        <v>932</v>
      </c>
      <c r="Q344" t="s">
        <v>1084</v>
      </c>
      <c r="R344" t="s">
        <v>1102</v>
      </c>
    </row>
    <row r="345" spans="1:18" x14ac:dyDescent="0.25">
      <c r="A345" t="s">
        <v>74</v>
      </c>
      <c r="B345" t="s">
        <v>168</v>
      </c>
      <c r="C345" t="s">
        <v>282</v>
      </c>
      <c r="D345" t="s">
        <v>165</v>
      </c>
      <c r="E345" t="s">
        <v>341</v>
      </c>
      <c r="F345" t="e">
        <f t="shared" ca="1" si="6"/>
        <v>#NAME?</v>
      </c>
      <c r="G345" t="s">
        <v>580</v>
      </c>
      <c r="H345" t="s">
        <v>863</v>
      </c>
      <c r="I345">
        <v>205</v>
      </c>
      <c r="J345" t="s">
        <v>932</v>
      </c>
      <c r="L345" s="1">
        <v>45077</v>
      </c>
      <c r="Q345" t="s">
        <v>1007</v>
      </c>
      <c r="R345" t="s">
        <v>1177</v>
      </c>
    </row>
    <row r="346" spans="1:18" x14ac:dyDescent="0.25">
      <c r="A346" t="s">
        <v>74</v>
      </c>
      <c r="B346" t="s">
        <v>168</v>
      </c>
      <c r="C346" t="s">
        <v>282</v>
      </c>
      <c r="D346" t="s">
        <v>165</v>
      </c>
      <c r="E346" t="s">
        <v>341</v>
      </c>
      <c r="F346" t="e">
        <f t="shared" ca="1" si="6"/>
        <v>#NAME?</v>
      </c>
      <c r="G346" t="s">
        <v>580</v>
      </c>
      <c r="H346" t="s">
        <v>864</v>
      </c>
      <c r="I346">
        <v>205</v>
      </c>
      <c r="J346" t="s">
        <v>932</v>
      </c>
      <c r="K346" s="1">
        <v>45078</v>
      </c>
      <c r="Q346" t="s">
        <v>1007</v>
      </c>
      <c r="R346" t="s">
        <v>1035</v>
      </c>
    </row>
    <row r="347" spans="1:18" x14ac:dyDescent="0.25">
      <c r="A347" t="s">
        <v>74</v>
      </c>
      <c r="B347" t="s">
        <v>168</v>
      </c>
      <c r="C347" t="s">
        <v>282</v>
      </c>
      <c r="D347" t="s">
        <v>165</v>
      </c>
      <c r="E347" t="s">
        <v>341</v>
      </c>
      <c r="F347" t="e">
        <f t="shared" ca="1" si="6"/>
        <v>#NAME?</v>
      </c>
      <c r="G347" t="s">
        <v>592</v>
      </c>
      <c r="H347" t="s">
        <v>865</v>
      </c>
      <c r="I347">
        <v>207</v>
      </c>
      <c r="J347" t="s">
        <v>932</v>
      </c>
      <c r="K347" s="1">
        <v>45078</v>
      </c>
      <c r="Q347" t="s">
        <v>1050</v>
      </c>
      <c r="R347" t="s">
        <v>1178</v>
      </c>
    </row>
    <row r="348" spans="1:18" x14ac:dyDescent="0.25">
      <c r="A348" t="s">
        <v>74</v>
      </c>
      <c r="B348" t="s">
        <v>168</v>
      </c>
      <c r="C348" t="s">
        <v>241</v>
      </c>
      <c r="D348" t="s">
        <v>336</v>
      </c>
      <c r="E348" t="s">
        <v>341</v>
      </c>
      <c r="F348" t="e">
        <f t="shared" ca="1" si="6"/>
        <v>#NAME?</v>
      </c>
      <c r="G348" t="s">
        <v>623</v>
      </c>
      <c r="H348" t="s">
        <v>642</v>
      </c>
      <c r="I348">
        <v>589</v>
      </c>
      <c r="J348" t="s">
        <v>932</v>
      </c>
      <c r="Q348" t="s">
        <v>1085</v>
      </c>
      <c r="R348" t="s">
        <v>1098</v>
      </c>
    </row>
    <row r="349" spans="1:18" x14ac:dyDescent="0.25">
      <c r="A349" t="s">
        <v>74</v>
      </c>
      <c r="B349" t="s">
        <v>168</v>
      </c>
      <c r="C349" t="s">
        <v>228</v>
      </c>
      <c r="D349" t="s">
        <v>172</v>
      </c>
      <c r="E349" t="s">
        <v>341</v>
      </c>
      <c r="F349" t="e">
        <f t="shared" ca="1" si="6"/>
        <v>#NAME?</v>
      </c>
      <c r="G349" t="s">
        <v>624</v>
      </c>
      <c r="H349" t="s">
        <v>866</v>
      </c>
      <c r="I349">
        <v>501</v>
      </c>
      <c r="J349" t="s">
        <v>932</v>
      </c>
      <c r="Q349" t="s">
        <v>1086</v>
      </c>
      <c r="R349" t="s">
        <v>1179</v>
      </c>
    </row>
    <row r="350" spans="1:18" x14ac:dyDescent="0.25">
      <c r="A350" t="s">
        <v>76</v>
      </c>
      <c r="B350" t="s">
        <v>170</v>
      </c>
      <c r="C350" t="s">
        <v>228</v>
      </c>
      <c r="D350" t="s">
        <v>172</v>
      </c>
      <c r="E350" t="s">
        <v>341</v>
      </c>
      <c r="F350" t="e">
        <f t="shared" ca="1" si="6"/>
        <v>#NAME?</v>
      </c>
      <c r="G350" t="s">
        <v>625</v>
      </c>
      <c r="H350" t="s">
        <v>611</v>
      </c>
      <c r="I350">
        <v>267</v>
      </c>
      <c r="J350" t="s">
        <v>932</v>
      </c>
      <c r="K350" s="1">
        <v>45078</v>
      </c>
      <c r="L350" t="s">
        <v>943</v>
      </c>
      <c r="Q350" t="s">
        <v>1018</v>
      </c>
      <c r="R350" t="s">
        <v>1076</v>
      </c>
    </row>
    <row r="351" spans="1:18" x14ac:dyDescent="0.25">
      <c r="A351" t="s">
        <v>76</v>
      </c>
      <c r="B351" t="s">
        <v>168</v>
      </c>
      <c r="C351" t="s">
        <v>228</v>
      </c>
      <c r="D351" t="s">
        <v>172</v>
      </c>
      <c r="E351" t="s">
        <v>341</v>
      </c>
      <c r="F351" t="e">
        <f t="shared" ca="1" si="6"/>
        <v>#NAME?</v>
      </c>
      <c r="G351" t="s">
        <v>626</v>
      </c>
      <c r="H351" t="s">
        <v>867</v>
      </c>
      <c r="I351">
        <v>267</v>
      </c>
      <c r="J351" t="s">
        <v>932</v>
      </c>
      <c r="K351" s="1">
        <v>45078</v>
      </c>
      <c r="L351" t="s">
        <v>943</v>
      </c>
      <c r="Q351" t="s">
        <v>1008</v>
      </c>
      <c r="R351" t="s">
        <v>1142</v>
      </c>
    </row>
    <row r="352" spans="1:18" x14ac:dyDescent="0.25">
      <c r="A352" t="s">
        <v>74</v>
      </c>
      <c r="B352" t="s">
        <v>168</v>
      </c>
      <c r="C352" t="s">
        <v>228</v>
      </c>
      <c r="D352" t="s">
        <v>172</v>
      </c>
      <c r="E352" t="s">
        <v>341</v>
      </c>
      <c r="F352" t="e">
        <f t="shared" ca="1" si="6"/>
        <v>#NAME?</v>
      </c>
      <c r="G352" t="s">
        <v>627</v>
      </c>
      <c r="H352" t="s">
        <v>868</v>
      </c>
      <c r="I352">
        <v>507</v>
      </c>
      <c r="J352" t="s">
        <v>932</v>
      </c>
      <c r="Q352" t="s">
        <v>1087</v>
      </c>
      <c r="R352" t="s">
        <v>1180</v>
      </c>
    </row>
    <row r="353" spans="1:18" x14ac:dyDescent="0.25">
      <c r="A353" t="s">
        <v>74</v>
      </c>
      <c r="B353" t="s">
        <v>168</v>
      </c>
      <c r="C353" t="s">
        <v>283</v>
      </c>
      <c r="D353" t="s">
        <v>174</v>
      </c>
      <c r="E353" t="s">
        <v>341</v>
      </c>
      <c r="F353" t="e">
        <f t="shared" ca="1" si="6"/>
        <v>#NAME?</v>
      </c>
      <c r="G353" t="s">
        <v>628</v>
      </c>
      <c r="H353" t="s">
        <v>685</v>
      </c>
      <c r="I353">
        <v>110</v>
      </c>
      <c r="J353" t="s">
        <v>932</v>
      </c>
      <c r="Q353" t="s">
        <v>1034</v>
      </c>
      <c r="R353" t="s">
        <v>1021</v>
      </c>
    </row>
    <row r="354" spans="1:18" x14ac:dyDescent="0.25">
      <c r="A354" t="s">
        <v>74</v>
      </c>
      <c r="B354" t="s">
        <v>168</v>
      </c>
      <c r="C354" t="s">
        <v>284</v>
      </c>
      <c r="D354" t="s">
        <v>175</v>
      </c>
      <c r="E354" t="s">
        <v>341</v>
      </c>
      <c r="F354" t="e">
        <f t="shared" ca="1" si="6"/>
        <v>#NAME?</v>
      </c>
      <c r="G354" t="s">
        <v>629</v>
      </c>
      <c r="H354" t="s">
        <v>869</v>
      </c>
      <c r="I354">
        <v>101</v>
      </c>
      <c r="J354" t="s">
        <v>932</v>
      </c>
      <c r="Q354" t="s">
        <v>1088</v>
      </c>
      <c r="R354" t="s">
        <v>1181</v>
      </c>
    </row>
    <row r="355" spans="1:18" x14ac:dyDescent="0.25">
      <c r="A355" t="s">
        <v>74</v>
      </c>
      <c r="B355" t="s">
        <v>168</v>
      </c>
      <c r="C355" t="s">
        <v>284</v>
      </c>
      <c r="D355" t="s">
        <v>175</v>
      </c>
      <c r="E355" t="s">
        <v>341</v>
      </c>
      <c r="F355" t="e">
        <f t="shared" ca="1" si="6"/>
        <v>#NAME?</v>
      </c>
      <c r="G355" t="s">
        <v>630</v>
      </c>
      <c r="H355" t="s">
        <v>870</v>
      </c>
      <c r="I355">
        <v>206</v>
      </c>
      <c r="J355" t="s">
        <v>932</v>
      </c>
      <c r="Q355" t="s">
        <v>1010</v>
      </c>
      <c r="R355" t="s">
        <v>1182</v>
      </c>
    </row>
    <row r="356" spans="1:18" x14ac:dyDescent="0.25">
      <c r="A356" t="s">
        <v>74</v>
      </c>
      <c r="B356" t="s">
        <v>168</v>
      </c>
      <c r="C356" t="s">
        <v>285</v>
      </c>
      <c r="D356" t="s">
        <v>176</v>
      </c>
      <c r="E356" t="s">
        <v>341</v>
      </c>
      <c r="F356" t="e">
        <f t="shared" ca="1" si="6"/>
        <v>#NAME?</v>
      </c>
      <c r="G356" t="s">
        <v>631</v>
      </c>
      <c r="H356" t="s">
        <v>871</v>
      </c>
      <c r="I356">
        <v>537</v>
      </c>
      <c r="J356" t="s">
        <v>932</v>
      </c>
      <c r="Q356" t="s">
        <v>1089</v>
      </c>
      <c r="R356" t="s">
        <v>1183</v>
      </c>
    </row>
    <row r="357" spans="1:18" x14ac:dyDescent="0.25">
      <c r="A357" t="s">
        <v>74</v>
      </c>
      <c r="B357" t="s">
        <v>168</v>
      </c>
      <c r="C357" t="s">
        <v>286</v>
      </c>
      <c r="D357" t="s">
        <v>177</v>
      </c>
      <c r="E357" t="s">
        <v>339</v>
      </c>
      <c r="F357" t="e">
        <f t="shared" ca="1" si="6"/>
        <v>#NAME?</v>
      </c>
      <c r="G357" t="s">
        <v>593</v>
      </c>
      <c r="H357" t="s">
        <v>848</v>
      </c>
      <c r="I357">
        <v>233</v>
      </c>
      <c r="J357" t="s">
        <v>932</v>
      </c>
      <c r="Q357" t="s">
        <v>998</v>
      </c>
      <c r="R357" t="s">
        <v>1161</v>
      </c>
    </row>
    <row r="358" spans="1:18" x14ac:dyDescent="0.25">
      <c r="A358" t="s">
        <v>74</v>
      </c>
      <c r="B358" t="s">
        <v>168</v>
      </c>
      <c r="C358" t="s">
        <v>287</v>
      </c>
      <c r="D358" t="s">
        <v>179</v>
      </c>
      <c r="E358" t="s">
        <v>341</v>
      </c>
      <c r="F358" t="e">
        <f t="shared" ca="1" si="6"/>
        <v>#NAME?</v>
      </c>
      <c r="G358" t="s">
        <v>614</v>
      </c>
      <c r="H358" t="s">
        <v>624</v>
      </c>
      <c r="I358">
        <v>931</v>
      </c>
      <c r="J358" t="s">
        <v>932</v>
      </c>
      <c r="Q358" t="s">
        <v>987</v>
      </c>
      <c r="R358" t="s">
        <v>1086</v>
      </c>
    </row>
    <row r="359" spans="1:18" x14ac:dyDescent="0.25">
      <c r="A359" t="s">
        <v>74</v>
      </c>
      <c r="B359" t="s">
        <v>168</v>
      </c>
      <c r="C359" t="s">
        <v>287</v>
      </c>
      <c r="D359" t="s">
        <v>179</v>
      </c>
      <c r="E359" t="s">
        <v>341</v>
      </c>
      <c r="F359" t="e">
        <f t="shared" ca="1" si="6"/>
        <v>#NAME?</v>
      </c>
      <c r="G359" t="s">
        <v>632</v>
      </c>
      <c r="H359" t="s">
        <v>872</v>
      </c>
      <c r="I359">
        <v>921</v>
      </c>
      <c r="J359" t="s">
        <v>932</v>
      </c>
      <c r="Q359" t="s">
        <v>1090</v>
      </c>
      <c r="R359" t="s">
        <v>1184</v>
      </c>
    </row>
    <row r="360" spans="1:18" x14ac:dyDescent="0.25">
      <c r="A360" t="s">
        <v>74</v>
      </c>
      <c r="B360" t="s">
        <v>168</v>
      </c>
      <c r="C360" t="s">
        <v>288</v>
      </c>
      <c r="D360" t="s">
        <v>181</v>
      </c>
      <c r="E360" t="s">
        <v>341</v>
      </c>
      <c r="F360" t="e">
        <f t="shared" ca="1" si="6"/>
        <v>#NAME?</v>
      </c>
      <c r="G360" t="s">
        <v>598</v>
      </c>
      <c r="H360" t="s">
        <v>675</v>
      </c>
      <c r="I360">
        <v>201</v>
      </c>
      <c r="J360" t="s">
        <v>932</v>
      </c>
      <c r="K360" s="1">
        <v>45078</v>
      </c>
      <c r="Q360" t="s">
        <v>974</v>
      </c>
      <c r="R360" t="s">
        <v>1115</v>
      </c>
    </row>
    <row r="361" spans="1:18" x14ac:dyDescent="0.25">
      <c r="A361" t="s">
        <v>74</v>
      </c>
      <c r="B361" t="s">
        <v>168</v>
      </c>
      <c r="C361" t="s">
        <v>289</v>
      </c>
      <c r="D361" t="s">
        <v>182</v>
      </c>
      <c r="E361" t="s">
        <v>339</v>
      </c>
      <c r="F361" t="e">
        <f t="shared" ca="1" si="6"/>
        <v>#NAME?</v>
      </c>
      <c r="G361" t="s">
        <v>633</v>
      </c>
      <c r="H361" t="s">
        <v>695</v>
      </c>
      <c r="I361">
        <v>938</v>
      </c>
      <c r="J361" t="s">
        <v>932</v>
      </c>
      <c r="Q361" t="s">
        <v>1091</v>
      </c>
      <c r="R361" t="s">
        <v>1127</v>
      </c>
    </row>
    <row r="362" spans="1:18" x14ac:dyDescent="0.25">
      <c r="A362" t="s">
        <v>74</v>
      </c>
      <c r="B362" t="s">
        <v>168</v>
      </c>
      <c r="C362" t="s">
        <v>289</v>
      </c>
      <c r="D362" t="s">
        <v>182</v>
      </c>
      <c r="E362" t="s">
        <v>341</v>
      </c>
      <c r="F362" t="e">
        <f t="shared" ca="1" si="6"/>
        <v>#NAME?</v>
      </c>
      <c r="G362" t="s">
        <v>591</v>
      </c>
      <c r="H362" t="s">
        <v>864</v>
      </c>
      <c r="I362">
        <v>940</v>
      </c>
      <c r="J362" t="s">
        <v>932</v>
      </c>
      <c r="Q362" t="s">
        <v>1068</v>
      </c>
      <c r="R362" t="s">
        <v>1035</v>
      </c>
    </row>
    <row r="363" spans="1:18" x14ac:dyDescent="0.25">
      <c r="A363" t="s">
        <v>74</v>
      </c>
      <c r="B363" t="s">
        <v>168</v>
      </c>
      <c r="C363" t="s">
        <v>289</v>
      </c>
      <c r="D363" t="s">
        <v>182</v>
      </c>
      <c r="E363" t="s">
        <v>341</v>
      </c>
      <c r="F363" t="e">
        <f t="shared" ca="1" si="6"/>
        <v>#NAME?</v>
      </c>
      <c r="G363" t="s">
        <v>634</v>
      </c>
      <c r="H363" t="s">
        <v>594</v>
      </c>
      <c r="I363">
        <v>952</v>
      </c>
      <c r="J363" t="s">
        <v>932</v>
      </c>
      <c r="Q363" t="s">
        <v>1092</v>
      </c>
      <c r="R363" t="s">
        <v>982</v>
      </c>
    </row>
    <row r="364" spans="1:18" x14ac:dyDescent="0.25">
      <c r="A364" t="s">
        <v>74</v>
      </c>
      <c r="B364" t="s">
        <v>168</v>
      </c>
      <c r="C364" t="s">
        <v>289</v>
      </c>
      <c r="D364" t="s">
        <v>182</v>
      </c>
      <c r="E364" t="s">
        <v>341</v>
      </c>
      <c r="F364" t="e">
        <f t="shared" ca="1" si="6"/>
        <v>#NAME?</v>
      </c>
      <c r="G364" t="s">
        <v>620</v>
      </c>
      <c r="H364" t="s">
        <v>873</v>
      </c>
      <c r="I364">
        <v>946</v>
      </c>
      <c r="J364" t="s">
        <v>932</v>
      </c>
      <c r="Q364" t="s">
        <v>983</v>
      </c>
      <c r="R364" t="s">
        <v>1131</v>
      </c>
    </row>
    <row r="365" spans="1:18" x14ac:dyDescent="0.25">
      <c r="A365" t="s">
        <v>74</v>
      </c>
      <c r="B365" t="s">
        <v>168</v>
      </c>
      <c r="C365" t="s">
        <v>289</v>
      </c>
      <c r="D365" t="s">
        <v>182</v>
      </c>
      <c r="E365" t="s">
        <v>396</v>
      </c>
      <c r="F365" t="e">
        <f t="shared" ca="1" si="6"/>
        <v>#NAME?</v>
      </c>
      <c r="G365" t="s">
        <v>632</v>
      </c>
      <c r="H365" t="s">
        <v>579</v>
      </c>
      <c r="I365">
        <v>950</v>
      </c>
      <c r="J365" t="s">
        <v>932</v>
      </c>
      <c r="Q365" t="s">
        <v>1090</v>
      </c>
      <c r="R365" t="s">
        <v>1059</v>
      </c>
    </row>
    <row r="366" spans="1:18" x14ac:dyDescent="0.25">
      <c r="A366" t="s">
        <v>74</v>
      </c>
      <c r="B366" t="s">
        <v>168</v>
      </c>
      <c r="C366" t="s">
        <v>290</v>
      </c>
      <c r="D366" t="s">
        <v>337</v>
      </c>
      <c r="E366" t="s">
        <v>341</v>
      </c>
      <c r="F366" t="e">
        <f t="shared" ca="1" si="6"/>
        <v>#NAME?</v>
      </c>
      <c r="G366" t="s">
        <v>628</v>
      </c>
      <c r="H366" t="s">
        <v>676</v>
      </c>
      <c r="I366">
        <v>110</v>
      </c>
      <c r="J366" t="s">
        <v>932</v>
      </c>
      <c r="Q366" t="s">
        <v>1034</v>
      </c>
      <c r="R366" t="s">
        <v>1116</v>
      </c>
    </row>
    <row r="367" spans="1:18" x14ac:dyDescent="0.25">
      <c r="A367" t="s">
        <v>74</v>
      </c>
      <c r="B367" t="s">
        <v>168</v>
      </c>
      <c r="C367" t="s">
        <v>245</v>
      </c>
      <c r="D367" t="s">
        <v>328</v>
      </c>
      <c r="E367" t="s">
        <v>341</v>
      </c>
      <c r="F367" t="e">
        <f t="shared" ca="1" si="6"/>
        <v>#NAME?</v>
      </c>
      <c r="G367" t="s">
        <v>583</v>
      </c>
      <c r="H367" t="s">
        <v>672</v>
      </c>
      <c r="I367">
        <v>539</v>
      </c>
      <c r="J367" t="s">
        <v>932</v>
      </c>
      <c r="Q367" t="s">
        <v>1061</v>
      </c>
      <c r="R367" t="s">
        <v>975</v>
      </c>
    </row>
    <row r="368" spans="1:18" x14ac:dyDescent="0.25">
      <c r="A368" t="s">
        <v>74</v>
      </c>
      <c r="B368" t="s">
        <v>168</v>
      </c>
      <c r="C368" t="s">
        <v>291</v>
      </c>
      <c r="D368" t="s">
        <v>184</v>
      </c>
      <c r="E368" t="s">
        <v>341</v>
      </c>
      <c r="F368" t="e">
        <f t="shared" ca="1" si="6"/>
        <v>#NAME?</v>
      </c>
      <c r="G368" t="s">
        <v>580</v>
      </c>
      <c r="H368" t="s">
        <v>644</v>
      </c>
      <c r="I368">
        <v>225</v>
      </c>
      <c r="J368" t="s">
        <v>932</v>
      </c>
      <c r="Q368" t="s">
        <v>1007</v>
      </c>
      <c r="R368" t="s">
        <v>999</v>
      </c>
    </row>
    <row r="369" spans="1:18" x14ac:dyDescent="0.25">
      <c r="A369" t="s">
        <v>74</v>
      </c>
      <c r="B369" t="s">
        <v>168</v>
      </c>
      <c r="C369" t="s">
        <v>224</v>
      </c>
      <c r="D369" t="s">
        <v>186</v>
      </c>
      <c r="E369" t="s">
        <v>341</v>
      </c>
      <c r="F369" t="e">
        <f t="shared" ca="1" si="6"/>
        <v>#NAME?</v>
      </c>
      <c r="G369" t="s">
        <v>605</v>
      </c>
      <c r="H369" t="s">
        <v>874</v>
      </c>
      <c r="I369">
        <v>5</v>
      </c>
      <c r="J369" t="s">
        <v>932</v>
      </c>
      <c r="Q369" t="s">
        <v>990</v>
      </c>
      <c r="R369" t="s">
        <v>1013</v>
      </c>
    </row>
    <row r="370" spans="1:18" x14ac:dyDescent="0.25">
      <c r="A370" t="s">
        <v>74</v>
      </c>
      <c r="B370" t="s">
        <v>168</v>
      </c>
      <c r="C370" t="s">
        <v>224</v>
      </c>
      <c r="D370" t="s">
        <v>186</v>
      </c>
      <c r="E370" t="s">
        <v>341</v>
      </c>
      <c r="F370" t="e">
        <f t="shared" ca="1" si="6"/>
        <v>#NAME?</v>
      </c>
      <c r="G370" t="s">
        <v>602</v>
      </c>
      <c r="H370" t="s">
        <v>600</v>
      </c>
      <c r="I370">
        <v>11</v>
      </c>
      <c r="J370" t="s">
        <v>932</v>
      </c>
      <c r="Q370" t="s">
        <v>1056</v>
      </c>
      <c r="R370" t="s">
        <v>1071</v>
      </c>
    </row>
    <row r="371" spans="1:18" x14ac:dyDescent="0.25">
      <c r="A371" t="s">
        <v>74</v>
      </c>
      <c r="B371" t="s">
        <v>168</v>
      </c>
      <c r="C371" t="s">
        <v>292</v>
      </c>
      <c r="D371" t="s">
        <v>193</v>
      </c>
      <c r="E371" t="s">
        <v>341</v>
      </c>
      <c r="F371" t="e">
        <f t="shared" ca="1" si="6"/>
        <v>#NAME?</v>
      </c>
      <c r="G371" t="s">
        <v>635</v>
      </c>
      <c r="H371" t="s">
        <v>652</v>
      </c>
      <c r="I371">
        <v>930</v>
      </c>
      <c r="J371" t="s">
        <v>932</v>
      </c>
      <c r="Q371" t="s">
        <v>1093</v>
      </c>
      <c r="R371" t="s">
        <v>1102</v>
      </c>
    </row>
    <row r="372" spans="1:18" x14ac:dyDescent="0.25">
      <c r="A372" t="s">
        <v>74</v>
      </c>
      <c r="B372" t="s">
        <v>168</v>
      </c>
      <c r="C372" t="s">
        <v>292</v>
      </c>
      <c r="D372" t="s">
        <v>193</v>
      </c>
      <c r="E372" t="s">
        <v>341</v>
      </c>
      <c r="F372" t="e">
        <f t="shared" ca="1" si="6"/>
        <v>#NAME?</v>
      </c>
      <c r="G372" t="s">
        <v>636</v>
      </c>
      <c r="H372" t="s">
        <v>653</v>
      </c>
      <c r="I372">
        <v>934</v>
      </c>
      <c r="J372" t="s">
        <v>932</v>
      </c>
      <c r="Q372" t="s">
        <v>1094</v>
      </c>
      <c r="R372" t="s">
        <v>1103</v>
      </c>
    </row>
    <row r="373" spans="1:18" x14ac:dyDescent="0.25">
      <c r="A373" t="s">
        <v>74</v>
      </c>
      <c r="B373" t="s">
        <v>168</v>
      </c>
      <c r="C373" t="s">
        <v>292</v>
      </c>
      <c r="D373" t="s">
        <v>193</v>
      </c>
      <c r="E373" t="s">
        <v>341</v>
      </c>
      <c r="F373" t="e">
        <f t="shared" ca="1" si="6"/>
        <v>#NAME?</v>
      </c>
      <c r="G373" t="s">
        <v>637</v>
      </c>
      <c r="H373" t="s">
        <v>875</v>
      </c>
      <c r="I373">
        <v>936</v>
      </c>
      <c r="J373" t="s">
        <v>932</v>
      </c>
      <c r="Q373" t="s">
        <v>1030</v>
      </c>
      <c r="R373" t="s">
        <v>1185</v>
      </c>
    </row>
    <row r="374" spans="1:18" x14ac:dyDescent="0.25">
      <c r="A374" t="s">
        <v>74</v>
      </c>
      <c r="B374" t="s">
        <v>168</v>
      </c>
      <c r="C374" t="s">
        <v>229</v>
      </c>
      <c r="D374" t="s">
        <v>195</v>
      </c>
      <c r="E374" t="s">
        <v>341</v>
      </c>
      <c r="F374" t="e">
        <f t="shared" ca="1" si="6"/>
        <v>#NAME?</v>
      </c>
      <c r="G374" t="s">
        <v>628</v>
      </c>
      <c r="H374" t="s">
        <v>876</v>
      </c>
      <c r="I374">
        <v>511</v>
      </c>
      <c r="J374" t="s">
        <v>932</v>
      </c>
      <c r="Q374" t="s">
        <v>1034</v>
      </c>
      <c r="R374" t="s">
        <v>1186</v>
      </c>
    </row>
    <row r="375" spans="1:18" x14ac:dyDescent="0.25">
      <c r="A375" t="s">
        <v>74</v>
      </c>
      <c r="B375" t="s">
        <v>168</v>
      </c>
      <c r="C375" t="s">
        <v>293</v>
      </c>
      <c r="D375" t="s">
        <v>197</v>
      </c>
      <c r="E375" t="s">
        <v>341</v>
      </c>
      <c r="F375" t="e">
        <f t="shared" ca="1" si="6"/>
        <v>#NAME?</v>
      </c>
      <c r="G375" t="s">
        <v>638</v>
      </c>
      <c r="H375" t="s">
        <v>645</v>
      </c>
      <c r="I375">
        <v>932</v>
      </c>
      <c r="J375" t="s">
        <v>932</v>
      </c>
      <c r="Q375" t="s">
        <v>972</v>
      </c>
      <c r="R375" t="s">
        <v>1099</v>
      </c>
    </row>
    <row r="376" spans="1:18" x14ac:dyDescent="0.25">
      <c r="A376" t="s">
        <v>74</v>
      </c>
      <c r="B376" t="s">
        <v>168</v>
      </c>
      <c r="C376" t="s">
        <v>294</v>
      </c>
      <c r="D376" t="s">
        <v>199</v>
      </c>
      <c r="E376" t="s">
        <v>341</v>
      </c>
      <c r="F376" t="e">
        <f t="shared" ca="1" si="6"/>
        <v>#NAME?</v>
      </c>
      <c r="G376" t="s">
        <v>601</v>
      </c>
      <c r="H376" t="s">
        <v>877</v>
      </c>
      <c r="I376">
        <v>597</v>
      </c>
      <c r="J376" t="s">
        <v>932</v>
      </c>
      <c r="Q376" t="s">
        <v>1033</v>
      </c>
      <c r="R376" t="s">
        <v>993</v>
      </c>
    </row>
    <row r="377" spans="1:18" x14ac:dyDescent="0.25">
      <c r="A377" t="s">
        <v>74</v>
      </c>
      <c r="B377" t="s">
        <v>168</v>
      </c>
      <c r="C377" t="s">
        <v>294</v>
      </c>
      <c r="D377" t="s">
        <v>199</v>
      </c>
      <c r="E377" t="s">
        <v>341</v>
      </c>
      <c r="F377" t="e">
        <f t="shared" ca="1" si="6"/>
        <v>#NAME?</v>
      </c>
      <c r="G377" t="s">
        <v>634</v>
      </c>
      <c r="H377" t="s">
        <v>627</v>
      </c>
      <c r="I377">
        <v>218</v>
      </c>
      <c r="J377" t="s">
        <v>932</v>
      </c>
      <c r="Q377" t="s">
        <v>1092</v>
      </c>
      <c r="R377" t="s">
        <v>1087</v>
      </c>
    </row>
    <row r="378" spans="1:18" x14ac:dyDescent="0.25">
      <c r="A378" t="s">
        <v>74</v>
      </c>
      <c r="B378" t="s">
        <v>168</v>
      </c>
      <c r="C378" t="s">
        <v>294</v>
      </c>
      <c r="D378" t="s">
        <v>199</v>
      </c>
      <c r="E378" t="s">
        <v>341</v>
      </c>
      <c r="F378" t="e">
        <f t="shared" ca="1" si="6"/>
        <v>#NAME?</v>
      </c>
      <c r="G378" t="s">
        <v>639</v>
      </c>
      <c r="H378" t="s">
        <v>869</v>
      </c>
      <c r="I378">
        <v>111</v>
      </c>
      <c r="J378" t="s">
        <v>932</v>
      </c>
      <c r="Q378" t="s">
        <v>1095</v>
      </c>
      <c r="R378" t="s">
        <v>1181</v>
      </c>
    </row>
    <row r="379" spans="1:18" x14ac:dyDescent="0.25">
      <c r="A379" t="s">
        <v>74</v>
      </c>
      <c r="B379" t="s">
        <v>168</v>
      </c>
      <c r="C379" t="s">
        <v>294</v>
      </c>
      <c r="D379" t="s">
        <v>199</v>
      </c>
      <c r="E379" t="s">
        <v>341</v>
      </c>
      <c r="F379" t="e">
        <f t="shared" ca="1" si="6"/>
        <v>#NAME?</v>
      </c>
      <c r="G379" t="s">
        <v>640</v>
      </c>
      <c r="H379" t="s">
        <v>688</v>
      </c>
      <c r="I379">
        <v>73</v>
      </c>
      <c r="J379" t="s">
        <v>932</v>
      </c>
      <c r="Q379" t="s">
        <v>1096</v>
      </c>
      <c r="R379" t="s">
        <v>1057</v>
      </c>
    </row>
    <row r="380" spans="1:18" x14ac:dyDescent="0.25">
      <c r="A380" t="s">
        <v>74</v>
      </c>
      <c r="B380" t="s">
        <v>168</v>
      </c>
      <c r="C380" t="s">
        <v>295</v>
      </c>
      <c r="D380" t="s">
        <v>198</v>
      </c>
      <c r="E380" t="s">
        <v>341</v>
      </c>
      <c r="F380" t="e">
        <f t="shared" ca="1" si="6"/>
        <v>#NAME?</v>
      </c>
      <c r="G380" t="s">
        <v>641</v>
      </c>
      <c r="H380" t="s">
        <v>878</v>
      </c>
      <c r="I380">
        <v>551</v>
      </c>
      <c r="J380" t="s">
        <v>932</v>
      </c>
      <c r="Q380" t="s">
        <v>1097</v>
      </c>
      <c r="R380" t="s">
        <v>1187</v>
      </c>
    </row>
    <row r="381" spans="1:18" x14ac:dyDescent="0.25">
      <c r="A381" t="s">
        <v>74</v>
      </c>
      <c r="B381" t="s">
        <v>168</v>
      </c>
      <c r="C381" t="s">
        <v>294</v>
      </c>
      <c r="D381" t="s">
        <v>199</v>
      </c>
      <c r="E381" t="s">
        <v>341</v>
      </c>
      <c r="F381" t="e">
        <f t="shared" ca="1" si="6"/>
        <v>#NAME?</v>
      </c>
      <c r="G381" t="s">
        <v>603</v>
      </c>
      <c r="H381" t="s">
        <v>879</v>
      </c>
      <c r="I381">
        <v>800</v>
      </c>
      <c r="J381" t="s">
        <v>932</v>
      </c>
      <c r="Q381" t="s">
        <v>1072</v>
      </c>
      <c r="R381" t="s">
        <v>1188</v>
      </c>
    </row>
    <row r="382" spans="1:18" x14ac:dyDescent="0.25">
      <c r="A382" t="s">
        <v>74</v>
      </c>
      <c r="B382" t="s">
        <v>168</v>
      </c>
      <c r="C382" t="s">
        <v>294</v>
      </c>
      <c r="D382" t="s">
        <v>199</v>
      </c>
      <c r="E382" t="s">
        <v>341</v>
      </c>
      <c r="F382" t="e">
        <f t="shared" ca="1" si="6"/>
        <v>#NAME?</v>
      </c>
      <c r="G382" t="s">
        <v>642</v>
      </c>
      <c r="H382" t="s">
        <v>880</v>
      </c>
      <c r="I382">
        <v>595</v>
      </c>
      <c r="J382" t="s">
        <v>932</v>
      </c>
      <c r="Q382" t="s">
        <v>1098</v>
      </c>
      <c r="R382" t="s">
        <v>1189</v>
      </c>
    </row>
    <row r="383" spans="1:18" x14ac:dyDescent="0.25">
      <c r="A383" t="s">
        <v>76</v>
      </c>
      <c r="B383" t="s">
        <v>170</v>
      </c>
      <c r="C383" t="s">
        <v>296</v>
      </c>
      <c r="D383" t="s">
        <v>200</v>
      </c>
      <c r="E383" t="s">
        <v>341</v>
      </c>
      <c r="F383" t="e">
        <f t="shared" ca="1" si="6"/>
        <v>#NAME?</v>
      </c>
      <c r="G383" t="s">
        <v>599</v>
      </c>
      <c r="H383" t="s">
        <v>881</v>
      </c>
      <c r="I383">
        <v>271</v>
      </c>
      <c r="J383" t="s">
        <v>932</v>
      </c>
      <c r="Q383" t="s">
        <v>977</v>
      </c>
      <c r="R383" t="s">
        <v>1190</v>
      </c>
    </row>
    <row r="384" spans="1:18" x14ac:dyDescent="0.25">
      <c r="A384" t="s">
        <v>74</v>
      </c>
      <c r="B384" t="s">
        <v>168</v>
      </c>
      <c r="C384" t="s">
        <v>296</v>
      </c>
      <c r="D384" t="s">
        <v>200</v>
      </c>
      <c r="E384" t="s">
        <v>341</v>
      </c>
      <c r="F384" t="e">
        <f t="shared" ca="1" si="6"/>
        <v>#NAME?</v>
      </c>
      <c r="G384" t="s">
        <v>592</v>
      </c>
      <c r="H384" t="s">
        <v>882</v>
      </c>
      <c r="I384">
        <v>237</v>
      </c>
      <c r="J384" t="s">
        <v>932</v>
      </c>
      <c r="Q384" t="s">
        <v>1050</v>
      </c>
      <c r="R384" t="s">
        <v>1191</v>
      </c>
    </row>
    <row r="385" spans="1:18" x14ac:dyDescent="0.25">
      <c r="A385" t="s">
        <v>75</v>
      </c>
      <c r="B385" t="s">
        <v>169</v>
      </c>
      <c r="C385" t="s">
        <v>296</v>
      </c>
      <c r="D385" t="s">
        <v>200</v>
      </c>
      <c r="E385" t="s">
        <v>341</v>
      </c>
      <c r="F385" t="e">
        <f t="shared" ca="1" si="6"/>
        <v>#NAME?</v>
      </c>
      <c r="G385" t="s">
        <v>643</v>
      </c>
      <c r="H385" t="s">
        <v>883</v>
      </c>
      <c r="I385">
        <v>275</v>
      </c>
      <c r="J385" t="s">
        <v>932</v>
      </c>
      <c r="Q385" t="s">
        <v>978</v>
      </c>
      <c r="R385" t="s">
        <v>1192</v>
      </c>
    </row>
    <row r="386" spans="1:18" x14ac:dyDescent="0.25">
      <c r="A386" t="s">
        <v>77</v>
      </c>
      <c r="B386" t="s">
        <v>171</v>
      </c>
      <c r="C386" t="s">
        <v>234</v>
      </c>
      <c r="D386" t="s">
        <v>119</v>
      </c>
      <c r="E386" t="s">
        <v>348</v>
      </c>
      <c r="F386" t="e">
        <f t="shared" ca="1" si="6"/>
        <v>#NAME?</v>
      </c>
      <c r="G386" t="s">
        <v>604</v>
      </c>
      <c r="H386" t="s">
        <v>593</v>
      </c>
      <c r="I386">
        <v>670</v>
      </c>
      <c r="J386" t="s">
        <v>932</v>
      </c>
      <c r="Q386" t="s">
        <v>1073</v>
      </c>
      <c r="R386" t="s">
        <v>998</v>
      </c>
    </row>
    <row r="387" spans="1:18" x14ac:dyDescent="0.25">
      <c r="A387" t="s">
        <v>77</v>
      </c>
      <c r="B387" t="s">
        <v>171</v>
      </c>
      <c r="C387" t="s">
        <v>234</v>
      </c>
      <c r="D387" t="s">
        <v>119</v>
      </c>
      <c r="E387" t="s">
        <v>349</v>
      </c>
      <c r="F387" t="e">
        <f t="shared" ref="F387:F450" ca="1" si="7">ConvertToOAG(E387)</f>
        <v>#NAME?</v>
      </c>
      <c r="G387" t="s">
        <v>644</v>
      </c>
      <c r="H387" t="s">
        <v>841</v>
      </c>
      <c r="I387">
        <v>672</v>
      </c>
      <c r="J387" t="s">
        <v>932</v>
      </c>
      <c r="Q387" t="s">
        <v>999</v>
      </c>
      <c r="R387" t="s">
        <v>1000</v>
      </c>
    </row>
    <row r="388" spans="1:18" x14ac:dyDescent="0.25">
      <c r="A388" t="s">
        <v>77</v>
      </c>
      <c r="B388" t="s">
        <v>171</v>
      </c>
      <c r="C388" t="s">
        <v>234</v>
      </c>
      <c r="D388" t="s">
        <v>119</v>
      </c>
      <c r="E388" t="s">
        <v>350</v>
      </c>
      <c r="F388" t="e">
        <f t="shared" ca="1" si="7"/>
        <v>#NAME?</v>
      </c>
      <c r="G388" t="s">
        <v>645</v>
      </c>
      <c r="H388" t="s">
        <v>629</v>
      </c>
      <c r="I388">
        <v>674</v>
      </c>
      <c r="J388" t="s">
        <v>932</v>
      </c>
      <c r="Q388" t="s">
        <v>1099</v>
      </c>
      <c r="R388" t="s">
        <v>1088</v>
      </c>
    </row>
    <row r="389" spans="1:18" x14ac:dyDescent="0.25">
      <c r="A389" t="s">
        <v>77</v>
      </c>
      <c r="B389" t="s">
        <v>171</v>
      </c>
      <c r="C389" t="s">
        <v>234</v>
      </c>
      <c r="D389" t="s">
        <v>119</v>
      </c>
      <c r="E389" t="s">
        <v>347</v>
      </c>
      <c r="F389" t="e">
        <f t="shared" ca="1" si="7"/>
        <v>#NAME?</v>
      </c>
      <c r="G389" t="s">
        <v>646</v>
      </c>
      <c r="H389" t="s">
        <v>853</v>
      </c>
      <c r="I389">
        <v>676</v>
      </c>
      <c r="J389" t="s">
        <v>932</v>
      </c>
      <c r="Q389" t="s">
        <v>1100</v>
      </c>
      <c r="R389" t="s">
        <v>1172</v>
      </c>
    </row>
    <row r="390" spans="1:18" x14ac:dyDescent="0.25">
      <c r="A390" t="s">
        <v>78</v>
      </c>
      <c r="B390" t="s">
        <v>172</v>
      </c>
      <c r="C390" t="s">
        <v>297</v>
      </c>
      <c r="D390" t="s">
        <v>139</v>
      </c>
      <c r="E390" t="s">
        <v>341</v>
      </c>
      <c r="F390" t="e">
        <f t="shared" ca="1" si="7"/>
        <v>#NAME?</v>
      </c>
      <c r="G390" t="s">
        <v>647</v>
      </c>
      <c r="H390" t="s">
        <v>861</v>
      </c>
      <c r="I390">
        <v>541</v>
      </c>
      <c r="J390" t="s">
        <v>932</v>
      </c>
      <c r="Q390" t="s">
        <v>1022</v>
      </c>
      <c r="R390" t="s">
        <v>1175</v>
      </c>
    </row>
    <row r="391" spans="1:18" x14ac:dyDescent="0.25">
      <c r="A391" t="s">
        <v>78</v>
      </c>
      <c r="B391" t="s">
        <v>172</v>
      </c>
      <c r="C391" t="s">
        <v>222</v>
      </c>
      <c r="D391" t="s">
        <v>160</v>
      </c>
      <c r="E391" t="s">
        <v>341</v>
      </c>
      <c r="F391" t="e">
        <f t="shared" ca="1" si="7"/>
        <v>#NAME?</v>
      </c>
      <c r="G391" t="s">
        <v>595</v>
      </c>
      <c r="H391" t="s">
        <v>601</v>
      </c>
      <c r="I391">
        <v>371</v>
      </c>
      <c r="J391" t="s">
        <v>932</v>
      </c>
      <c r="Q391" t="s">
        <v>1027</v>
      </c>
      <c r="R391" t="s">
        <v>1033</v>
      </c>
    </row>
    <row r="392" spans="1:18" x14ac:dyDescent="0.25">
      <c r="A392" t="s">
        <v>78</v>
      </c>
      <c r="B392" t="s">
        <v>172</v>
      </c>
      <c r="C392" t="s">
        <v>222</v>
      </c>
      <c r="D392" t="s">
        <v>160</v>
      </c>
      <c r="E392" t="s">
        <v>341</v>
      </c>
      <c r="F392" t="e">
        <f t="shared" ca="1" si="7"/>
        <v>#NAME?</v>
      </c>
      <c r="G392" t="s">
        <v>599</v>
      </c>
      <c r="H392" t="s">
        <v>847</v>
      </c>
      <c r="I392">
        <v>373</v>
      </c>
      <c r="J392" t="s">
        <v>932</v>
      </c>
      <c r="Q392" t="s">
        <v>977</v>
      </c>
      <c r="R392" t="s">
        <v>1029</v>
      </c>
    </row>
    <row r="393" spans="1:18" x14ac:dyDescent="0.25">
      <c r="A393" t="s">
        <v>78</v>
      </c>
      <c r="B393" t="s">
        <v>172</v>
      </c>
      <c r="C393" t="s">
        <v>222</v>
      </c>
      <c r="D393" t="s">
        <v>160</v>
      </c>
      <c r="E393" t="s">
        <v>341</v>
      </c>
      <c r="F393" t="e">
        <f t="shared" ca="1" si="7"/>
        <v>#NAME?</v>
      </c>
      <c r="G393" t="s">
        <v>596</v>
      </c>
      <c r="H393" t="s">
        <v>884</v>
      </c>
      <c r="I393">
        <v>375</v>
      </c>
      <c r="J393" t="s">
        <v>932</v>
      </c>
      <c r="Q393" t="s">
        <v>1069</v>
      </c>
      <c r="R393" t="s">
        <v>997</v>
      </c>
    </row>
    <row r="394" spans="1:18" x14ac:dyDescent="0.25">
      <c r="A394" t="s">
        <v>78</v>
      </c>
      <c r="B394" t="s">
        <v>172</v>
      </c>
      <c r="C394" t="s">
        <v>222</v>
      </c>
      <c r="D394" t="s">
        <v>160</v>
      </c>
      <c r="E394" t="s">
        <v>341</v>
      </c>
      <c r="F394" t="e">
        <f t="shared" ca="1" si="7"/>
        <v>#NAME?</v>
      </c>
      <c r="G394" t="s">
        <v>604</v>
      </c>
      <c r="H394" t="s">
        <v>696</v>
      </c>
      <c r="I394">
        <v>377</v>
      </c>
      <c r="J394" t="s">
        <v>932</v>
      </c>
      <c r="Q394" t="s">
        <v>1073</v>
      </c>
      <c r="R394" t="s">
        <v>1128</v>
      </c>
    </row>
    <row r="395" spans="1:18" x14ac:dyDescent="0.25">
      <c r="A395" t="s">
        <v>78</v>
      </c>
      <c r="B395" t="s">
        <v>172</v>
      </c>
      <c r="C395" t="s">
        <v>222</v>
      </c>
      <c r="D395" t="s">
        <v>160</v>
      </c>
      <c r="E395" t="s">
        <v>341</v>
      </c>
      <c r="F395" t="e">
        <f t="shared" ca="1" si="7"/>
        <v>#NAME?</v>
      </c>
      <c r="G395" t="s">
        <v>593</v>
      </c>
      <c r="H395" t="s">
        <v>674</v>
      </c>
      <c r="I395">
        <v>379</v>
      </c>
      <c r="J395" t="s">
        <v>932</v>
      </c>
      <c r="Q395" t="s">
        <v>998</v>
      </c>
      <c r="R395" t="s">
        <v>1114</v>
      </c>
    </row>
    <row r="396" spans="1:18" x14ac:dyDescent="0.25">
      <c r="A396" t="s">
        <v>78</v>
      </c>
      <c r="B396" t="s">
        <v>172</v>
      </c>
      <c r="C396" t="s">
        <v>222</v>
      </c>
      <c r="D396" t="s">
        <v>160</v>
      </c>
      <c r="E396" t="s">
        <v>341</v>
      </c>
      <c r="F396" t="e">
        <f t="shared" ca="1" si="7"/>
        <v>#NAME?</v>
      </c>
      <c r="G396" t="s">
        <v>617</v>
      </c>
      <c r="H396" t="s">
        <v>668</v>
      </c>
      <c r="I396">
        <v>381</v>
      </c>
      <c r="J396" t="s">
        <v>932</v>
      </c>
      <c r="Q396" t="s">
        <v>1081</v>
      </c>
      <c r="R396" t="s">
        <v>1028</v>
      </c>
    </row>
    <row r="397" spans="1:18" x14ac:dyDescent="0.25">
      <c r="A397" t="s">
        <v>78</v>
      </c>
      <c r="B397" t="s">
        <v>172</v>
      </c>
      <c r="C397" t="s">
        <v>222</v>
      </c>
      <c r="D397" t="s">
        <v>160</v>
      </c>
      <c r="E397" t="s">
        <v>341</v>
      </c>
      <c r="F397" t="e">
        <f t="shared" ca="1" si="7"/>
        <v>#NAME?</v>
      </c>
      <c r="G397" t="s">
        <v>643</v>
      </c>
      <c r="H397" t="s">
        <v>671</v>
      </c>
      <c r="I397">
        <v>383</v>
      </c>
      <c r="J397" t="s">
        <v>932</v>
      </c>
      <c r="Q397" t="s">
        <v>978</v>
      </c>
      <c r="R397" t="s">
        <v>1112</v>
      </c>
    </row>
    <row r="398" spans="1:18" x14ac:dyDescent="0.25">
      <c r="A398" t="s">
        <v>78</v>
      </c>
      <c r="B398" t="s">
        <v>172</v>
      </c>
      <c r="C398" t="s">
        <v>222</v>
      </c>
      <c r="D398" t="s">
        <v>160</v>
      </c>
      <c r="E398" t="s">
        <v>341</v>
      </c>
      <c r="F398" t="e">
        <f t="shared" ca="1" si="7"/>
        <v>#NAME?</v>
      </c>
      <c r="G398" t="s">
        <v>648</v>
      </c>
      <c r="H398" t="s">
        <v>638</v>
      </c>
      <c r="I398">
        <v>385</v>
      </c>
      <c r="J398" t="s">
        <v>932</v>
      </c>
      <c r="Q398" t="s">
        <v>1038</v>
      </c>
      <c r="R398" t="s">
        <v>972</v>
      </c>
    </row>
    <row r="399" spans="1:18" x14ac:dyDescent="0.25">
      <c r="A399" t="s">
        <v>78</v>
      </c>
      <c r="B399" t="s">
        <v>172</v>
      </c>
      <c r="C399" t="s">
        <v>222</v>
      </c>
      <c r="D399" t="s">
        <v>160</v>
      </c>
      <c r="E399" t="s">
        <v>341</v>
      </c>
      <c r="F399" t="e">
        <f t="shared" ca="1" si="7"/>
        <v>#NAME?</v>
      </c>
      <c r="G399" t="s">
        <v>634</v>
      </c>
      <c r="H399" t="s">
        <v>583</v>
      </c>
      <c r="I399">
        <v>387</v>
      </c>
      <c r="J399" t="s">
        <v>932</v>
      </c>
      <c r="Q399" t="s">
        <v>1092</v>
      </c>
      <c r="R399" t="s">
        <v>1061</v>
      </c>
    </row>
    <row r="400" spans="1:18" x14ac:dyDescent="0.25">
      <c r="A400" t="s">
        <v>78</v>
      </c>
      <c r="B400" t="s">
        <v>172</v>
      </c>
      <c r="C400" t="s">
        <v>222</v>
      </c>
      <c r="D400" t="s">
        <v>160</v>
      </c>
      <c r="E400" t="s">
        <v>341</v>
      </c>
      <c r="F400" t="e">
        <f t="shared" ca="1" si="7"/>
        <v>#NAME?</v>
      </c>
      <c r="G400" t="s">
        <v>594</v>
      </c>
      <c r="H400" t="s">
        <v>885</v>
      </c>
      <c r="I400">
        <v>98</v>
      </c>
      <c r="J400" t="s">
        <v>932</v>
      </c>
      <c r="Q400" t="s">
        <v>982</v>
      </c>
      <c r="R400" t="s">
        <v>1162</v>
      </c>
    </row>
    <row r="401" spans="1:18" x14ac:dyDescent="0.25">
      <c r="A401" t="s">
        <v>78</v>
      </c>
      <c r="B401" t="s">
        <v>172</v>
      </c>
      <c r="C401" t="s">
        <v>222</v>
      </c>
      <c r="D401" t="s">
        <v>160</v>
      </c>
      <c r="E401" t="s">
        <v>341</v>
      </c>
      <c r="F401" t="e">
        <f t="shared" ca="1" si="7"/>
        <v>#NAME?</v>
      </c>
      <c r="G401" t="s">
        <v>588</v>
      </c>
      <c r="H401" t="s">
        <v>690</v>
      </c>
      <c r="I401">
        <v>391</v>
      </c>
      <c r="J401" t="s">
        <v>932</v>
      </c>
      <c r="Q401" t="s">
        <v>1066</v>
      </c>
      <c r="R401" t="s">
        <v>1024</v>
      </c>
    </row>
    <row r="402" spans="1:18" x14ac:dyDescent="0.25">
      <c r="A402" t="s">
        <v>78</v>
      </c>
      <c r="B402" t="s">
        <v>172</v>
      </c>
      <c r="C402" t="s">
        <v>222</v>
      </c>
      <c r="D402" t="s">
        <v>160</v>
      </c>
      <c r="E402" t="s">
        <v>341</v>
      </c>
      <c r="F402" t="e">
        <f t="shared" ca="1" si="7"/>
        <v>#NAME?</v>
      </c>
      <c r="G402" t="s">
        <v>609</v>
      </c>
      <c r="H402" t="s">
        <v>844</v>
      </c>
      <c r="I402">
        <v>393</v>
      </c>
      <c r="J402" t="s">
        <v>932</v>
      </c>
      <c r="Q402" t="s">
        <v>1003</v>
      </c>
      <c r="R402" t="s">
        <v>1019</v>
      </c>
    </row>
    <row r="403" spans="1:18" x14ac:dyDescent="0.25">
      <c r="A403" t="s">
        <v>78</v>
      </c>
      <c r="B403" t="s">
        <v>172</v>
      </c>
      <c r="C403" t="s">
        <v>222</v>
      </c>
      <c r="D403" t="s">
        <v>160</v>
      </c>
      <c r="E403" t="s">
        <v>341</v>
      </c>
      <c r="F403" t="e">
        <f t="shared" ca="1" si="7"/>
        <v>#NAME?</v>
      </c>
      <c r="G403" t="s">
        <v>649</v>
      </c>
      <c r="H403" t="s">
        <v>622</v>
      </c>
      <c r="I403">
        <v>395</v>
      </c>
      <c r="J403" t="s">
        <v>932</v>
      </c>
      <c r="Q403" t="s">
        <v>1016</v>
      </c>
      <c r="R403" t="s">
        <v>1084</v>
      </c>
    </row>
    <row r="404" spans="1:18" x14ac:dyDescent="0.25">
      <c r="A404" t="s">
        <v>78</v>
      </c>
      <c r="B404" t="s">
        <v>172</v>
      </c>
      <c r="C404" t="s">
        <v>222</v>
      </c>
      <c r="D404" t="s">
        <v>160</v>
      </c>
      <c r="E404" t="s">
        <v>341</v>
      </c>
      <c r="F404" t="e">
        <f t="shared" ca="1" si="7"/>
        <v>#NAME?</v>
      </c>
      <c r="G404" t="s">
        <v>642</v>
      </c>
      <c r="H404" t="s">
        <v>886</v>
      </c>
      <c r="I404">
        <v>397</v>
      </c>
      <c r="J404" t="s">
        <v>932</v>
      </c>
      <c r="Q404" t="s">
        <v>1098</v>
      </c>
      <c r="R404" t="s">
        <v>1193</v>
      </c>
    </row>
    <row r="405" spans="1:18" x14ac:dyDescent="0.25">
      <c r="A405" t="s">
        <v>78</v>
      </c>
      <c r="B405" t="s">
        <v>172</v>
      </c>
      <c r="C405" t="s">
        <v>222</v>
      </c>
      <c r="D405" t="s">
        <v>160</v>
      </c>
      <c r="E405" t="s">
        <v>341</v>
      </c>
      <c r="F405" t="e">
        <f t="shared" ca="1" si="7"/>
        <v>#NAME?</v>
      </c>
      <c r="G405" t="s">
        <v>650</v>
      </c>
      <c r="H405" t="s">
        <v>632</v>
      </c>
      <c r="I405">
        <v>399</v>
      </c>
      <c r="J405" t="s">
        <v>932</v>
      </c>
      <c r="Q405" t="s">
        <v>1101</v>
      </c>
      <c r="R405" t="s">
        <v>1090</v>
      </c>
    </row>
    <row r="406" spans="1:18" x14ac:dyDescent="0.25">
      <c r="A406" t="s">
        <v>78</v>
      </c>
      <c r="B406" t="s">
        <v>172</v>
      </c>
      <c r="C406" t="s">
        <v>209</v>
      </c>
      <c r="D406" t="s">
        <v>168</v>
      </c>
      <c r="E406" t="s">
        <v>341</v>
      </c>
      <c r="F406" t="e">
        <f t="shared" ca="1" si="7"/>
        <v>#NAME?</v>
      </c>
      <c r="G406" t="s">
        <v>651</v>
      </c>
      <c r="H406" t="s">
        <v>887</v>
      </c>
      <c r="I406">
        <v>502</v>
      </c>
      <c r="J406" t="s">
        <v>932</v>
      </c>
      <c r="Q406" t="s">
        <v>1048</v>
      </c>
      <c r="R406" t="s">
        <v>1194</v>
      </c>
    </row>
    <row r="407" spans="1:18" x14ac:dyDescent="0.25">
      <c r="A407" t="s">
        <v>78</v>
      </c>
      <c r="B407" t="s">
        <v>172</v>
      </c>
      <c r="C407" t="s">
        <v>265</v>
      </c>
      <c r="D407" t="s">
        <v>170</v>
      </c>
      <c r="E407" t="s">
        <v>341</v>
      </c>
      <c r="F407" t="e">
        <f t="shared" ca="1" si="7"/>
        <v>#NAME?</v>
      </c>
      <c r="G407" t="s">
        <v>638</v>
      </c>
      <c r="H407" t="s">
        <v>640</v>
      </c>
      <c r="I407">
        <v>268</v>
      </c>
      <c r="J407" t="s">
        <v>932</v>
      </c>
      <c r="K407" s="1">
        <v>45108</v>
      </c>
      <c r="Q407" t="s">
        <v>972</v>
      </c>
      <c r="R407" t="s">
        <v>1096</v>
      </c>
    </row>
    <row r="408" spans="1:18" x14ac:dyDescent="0.25">
      <c r="A408" t="s">
        <v>78</v>
      </c>
      <c r="B408" t="s">
        <v>172</v>
      </c>
      <c r="C408" t="s">
        <v>265</v>
      </c>
      <c r="D408" t="s">
        <v>170</v>
      </c>
      <c r="E408" t="s">
        <v>341</v>
      </c>
      <c r="F408" t="e">
        <f t="shared" ca="1" si="7"/>
        <v>#NAME?</v>
      </c>
      <c r="G408" t="s">
        <v>594</v>
      </c>
      <c r="H408" t="s">
        <v>636</v>
      </c>
      <c r="I408">
        <v>268</v>
      </c>
      <c r="J408" t="s">
        <v>932</v>
      </c>
      <c r="L408" t="s">
        <v>943</v>
      </c>
      <c r="Q408" t="s">
        <v>982</v>
      </c>
      <c r="R408" t="s">
        <v>1094</v>
      </c>
    </row>
    <row r="409" spans="1:18" x14ac:dyDescent="0.25">
      <c r="A409" t="s">
        <v>78</v>
      </c>
      <c r="B409" t="s">
        <v>172</v>
      </c>
      <c r="C409" t="s">
        <v>209</v>
      </c>
      <c r="D409" t="s">
        <v>168</v>
      </c>
      <c r="E409" t="s">
        <v>341</v>
      </c>
      <c r="F409" t="e">
        <f t="shared" ca="1" si="7"/>
        <v>#NAME?</v>
      </c>
      <c r="G409" t="s">
        <v>619</v>
      </c>
      <c r="H409" t="s">
        <v>888</v>
      </c>
      <c r="I409">
        <v>506</v>
      </c>
      <c r="J409" t="s">
        <v>932</v>
      </c>
      <c r="Q409" t="s">
        <v>1082</v>
      </c>
      <c r="R409" t="s">
        <v>1195</v>
      </c>
    </row>
    <row r="410" spans="1:18" x14ac:dyDescent="0.25">
      <c r="A410" t="s">
        <v>78</v>
      </c>
      <c r="B410" t="s">
        <v>172</v>
      </c>
      <c r="C410" t="s">
        <v>294</v>
      </c>
      <c r="D410" t="s">
        <v>199</v>
      </c>
      <c r="E410" t="s">
        <v>341</v>
      </c>
      <c r="F410" t="e">
        <f t="shared" ca="1" si="7"/>
        <v>#NAME?</v>
      </c>
      <c r="G410" t="s">
        <v>652</v>
      </c>
      <c r="H410" t="s">
        <v>592</v>
      </c>
      <c r="I410">
        <v>540</v>
      </c>
      <c r="J410" t="s">
        <v>932</v>
      </c>
      <c r="Q410" t="s">
        <v>1102</v>
      </c>
      <c r="R410" t="s">
        <v>1050</v>
      </c>
    </row>
    <row r="411" spans="1:18" x14ac:dyDescent="0.25">
      <c r="A411" t="s">
        <v>78</v>
      </c>
      <c r="B411" t="s">
        <v>172</v>
      </c>
      <c r="C411" t="s">
        <v>296</v>
      </c>
      <c r="D411" t="s">
        <v>200</v>
      </c>
      <c r="E411" t="s">
        <v>341</v>
      </c>
      <c r="F411" t="e">
        <f t="shared" ca="1" si="7"/>
        <v>#NAME?</v>
      </c>
      <c r="G411" t="s">
        <v>653</v>
      </c>
      <c r="H411" t="s">
        <v>889</v>
      </c>
      <c r="I411">
        <v>507</v>
      </c>
      <c r="J411" t="s">
        <v>932</v>
      </c>
      <c r="Q411" t="s">
        <v>1103</v>
      </c>
      <c r="R411" t="s">
        <v>1196</v>
      </c>
    </row>
    <row r="412" spans="1:18" x14ac:dyDescent="0.25">
      <c r="A412" t="s">
        <v>79</v>
      </c>
      <c r="B412" t="s">
        <v>173</v>
      </c>
      <c r="C412" t="s">
        <v>251</v>
      </c>
      <c r="D412" t="s">
        <v>147</v>
      </c>
      <c r="E412" t="s">
        <v>364</v>
      </c>
      <c r="F412" t="e">
        <f t="shared" ca="1" si="7"/>
        <v>#NAME?</v>
      </c>
      <c r="G412" t="s">
        <v>620</v>
      </c>
      <c r="H412" t="s">
        <v>890</v>
      </c>
      <c r="I412">
        <v>812</v>
      </c>
      <c r="J412" t="s">
        <v>932</v>
      </c>
      <c r="Q412" t="s">
        <v>983</v>
      </c>
      <c r="R412" t="s">
        <v>1197</v>
      </c>
    </row>
    <row r="413" spans="1:18" x14ac:dyDescent="0.25">
      <c r="A413" t="s">
        <v>79</v>
      </c>
      <c r="B413" t="s">
        <v>173</v>
      </c>
      <c r="C413" t="s">
        <v>251</v>
      </c>
      <c r="D413" t="s">
        <v>147</v>
      </c>
      <c r="E413" t="s">
        <v>367</v>
      </c>
      <c r="F413" t="e">
        <f t="shared" ca="1" si="7"/>
        <v>#NAME?</v>
      </c>
      <c r="G413" t="s">
        <v>654</v>
      </c>
      <c r="H413" t="s">
        <v>891</v>
      </c>
      <c r="I413">
        <v>10</v>
      </c>
      <c r="J413" t="s">
        <v>932</v>
      </c>
      <c r="Q413" t="s">
        <v>1004</v>
      </c>
      <c r="R413" t="s">
        <v>994</v>
      </c>
    </row>
    <row r="414" spans="1:18" x14ac:dyDescent="0.25">
      <c r="A414" t="s">
        <v>79</v>
      </c>
      <c r="B414" t="s">
        <v>173</v>
      </c>
      <c r="C414" t="s">
        <v>298</v>
      </c>
      <c r="D414" t="s">
        <v>188</v>
      </c>
      <c r="E414" t="s">
        <v>370</v>
      </c>
      <c r="F414" t="e">
        <f t="shared" ca="1" si="7"/>
        <v>#NAME?</v>
      </c>
      <c r="G414" t="s">
        <v>628</v>
      </c>
      <c r="H414" t="s">
        <v>683</v>
      </c>
      <c r="I414">
        <v>831</v>
      </c>
      <c r="J414" t="s">
        <v>932</v>
      </c>
      <c r="Q414" t="s">
        <v>1034</v>
      </c>
      <c r="R414" t="s">
        <v>1032</v>
      </c>
    </row>
    <row r="415" spans="1:18" x14ac:dyDescent="0.25">
      <c r="A415" t="s">
        <v>79</v>
      </c>
      <c r="B415" t="s">
        <v>173</v>
      </c>
      <c r="C415" t="s">
        <v>225</v>
      </c>
      <c r="D415" t="s">
        <v>196</v>
      </c>
      <c r="E415" t="s">
        <v>397</v>
      </c>
      <c r="F415" t="e">
        <f t="shared" ca="1" si="7"/>
        <v>#NAME?</v>
      </c>
      <c r="G415" t="s">
        <v>581</v>
      </c>
      <c r="H415" t="s">
        <v>657</v>
      </c>
      <c r="I415">
        <v>16</v>
      </c>
      <c r="J415" t="s">
        <v>932</v>
      </c>
      <c r="O415" t="s">
        <v>944</v>
      </c>
      <c r="Q415" t="s">
        <v>1054</v>
      </c>
      <c r="R415" t="s">
        <v>1105</v>
      </c>
    </row>
    <row r="416" spans="1:18" x14ac:dyDescent="0.25">
      <c r="A416" t="s">
        <v>79</v>
      </c>
      <c r="B416" t="s">
        <v>173</v>
      </c>
      <c r="C416" t="s">
        <v>225</v>
      </c>
      <c r="D416" t="s">
        <v>196</v>
      </c>
      <c r="E416" t="s">
        <v>398</v>
      </c>
      <c r="F416" t="e">
        <f t="shared" ca="1" si="7"/>
        <v>#NAME?</v>
      </c>
      <c r="G416" t="s">
        <v>638</v>
      </c>
      <c r="H416" t="s">
        <v>594</v>
      </c>
      <c r="I416">
        <v>830</v>
      </c>
      <c r="J416" t="s">
        <v>932</v>
      </c>
      <c r="O416" t="s">
        <v>955</v>
      </c>
      <c r="Q416" t="s">
        <v>972</v>
      </c>
      <c r="R416" t="s">
        <v>982</v>
      </c>
    </row>
    <row r="417" spans="1:18" x14ac:dyDescent="0.25">
      <c r="A417" t="s">
        <v>80</v>
      </c>
      <c r="B417" t="s">
        <v>174</v>
      </c>
      <c r="C417" t="s">
        <v>299</v>
      </c>
      <c r="E417" t="s">
        <v>341</v>
      </c>
      <c r="F417" t="e">
        <f t="shared" ca="1" si="7"/>
        <v>#NAME?</v>
      </c>
      <c r="G417" t="s">
        <v>617</v>
      </c>
      <c r="H417" t="s">
        <v>671</v>
      </c>
      <c r="I417">
        <v>115</v>
      </c>
      <c r="J417" t="s">
        <v>932</v>
      </c>
      <c r="Q417" t="s">
        <v>1081</v>
      </c>
      <c r="R417" t="s">
        <v>1112</v>
      </c>
    </row>
    <row r="418" spans="1:18" x14ac:dyDescent="0.25">
      <c r="A418" t="s">
        <v>81</v>
      </c>
      <c r="B418" t="s">
        <v>175</v>
      </c>
      <c r="C418" t="s">
        <v>299</v>
      </c>
      <c r="E418" t="s">
        <v>341</v>
      </c>
      <c r="F418" t="e">
        <f t="shared" ca="1" si="7"/>
        <v>#NAME?</v>
      </c>
      <c r="G418" t="s">
        <v>655</v>
      </c>
      <c r="H418" t="s">
        <v>892</v>
      </c>
      <c r="I418">
        <v>205</v>
      </c>
      <c r="J418" t="s">
        <v>932</v>
      </c>
      <c r="Q418" t="s">
        <v>980</v>
      </c>
      <c r="R418" t="s">
        <v>1198</v>
      </c>
    </row>
    <row r="419" spans="1:18" x14ac:dyDescent="0.25">
      <c r="A419" t="s">
        <v>81</v>
      </c>
      <c r="B419" t="s">
        <v>175</v>
      </c>
      <c r="C419" t="s">
        <v>299</v>
      </c>
      <c r="E419" t="s">
        <v>341</v>
      </c>
      <c r="F419" t="e">
        <f t="shared" ca="1" si="7"/>
        <v>#NAME?</v>
      </c>
      <c r="G419" t="s">
        <v>627</v>
      </c>
      <c r="H419" t="s">
        <v>588</v>
      </c>
      <c r="I419">
        <v>102</v>
      </c>
      <c r="J419" t="s">
        <v>932</v>
      </c>
      <c r="Q419" t="s">
        <v>1087</v>
      </c>
      <c r="R419" t="s">
        <v>1066</v>
      </c>
    </row>
    <row r="420" spans="1:18" x14ac:dyDescent="0.25">
      <c r="A420" t="s">
        <v>81</v>
      </c>
      <c r="B420" t="s">
        <v>175</v>
      </c>
      <c r="C420" t="s">
        <v>285</v>
      </c>
      <c r="D420" t="s">
        <v>176</v>
      </c>
      <c r="E420" t="s">
        <v>341</v>
      </c>
      <c r="F420" t="e">
        <f t="shared" ca="1" si="7"/>
        <v>#NAME?</v>
      </c>
      <c r="G420" t="s">
        <v>656</v>
      </c>
      <c r="H420" t="s">
        <v>872</v>
      </c>
      <c r="I420">
        <v>206</v>
      </c>
      <c r="J420" t="s">
        <v>932</v>
      </c>
      <c r="Q420" t="s">
        <v>1104</v>
      </c>
      <c r="R420" t="s">
        <v>1184</v>
      </c>
    </row>
    <row r="421" spans="1:18" x14ac:dyDescent="0.25">
      <c r="A421" t="s">
        <v>81</v>
      </c>
      <c r="B421" t="s">
        <v>175</v>
      </c>
      <c r="C421" t="s">
        <v>300</v>
      </c>
      <c r="D421" t="s">
        <v>180</v>
      </c>
      <c r="E421" t="s">
        <v>341</v>
      </c>
      <c r="F421" t="e">
        <f t="shared" ca="1" si="7"/>
        <v>#NAME?</v>
      </c>
      <c r="G421" t="s">
        <v>609</v>
      </c>
      <c r="H421" t="s">
        <v>893</v>
      </c>
      <c r="I421">
        <v>101</v>
      </c>
      <c r="J421" t="s">
        <v>932</v>
      </c>
      <c r="Q421" t="s">
        <v>1003</v>
      </c>
      <c r="R421" t="s">
        <v>1199</v>
      </c>
    </row>
    <row r="422" spans="1:18" x14ac:dyDescent="0.25">
      <c r="A422" t="s">
        <v>82</v>
      </c>
      <c r="B422" t="s">
        <v>176</v>
      </c>
      <c r="C422" t="s">
        <v>301</v>
      </c>
      <c r="D422" t="s">
        <v>129</v>
      </c>
      <c r="E422" t="s">
        <v>341</v>
      </c>
      <c r="F422" t="e">
        <f t="shared" ca="1" si="7"/>
        <v>#NAME?</v>
      </c>
      <c r="G422" t="s">
        <v>642</v>
      </c>
      <c r="H422" t="s">
        <v>650</v>
      </c>
      <c r="I422">
        <v>537</v>
      </c>
      <c r="J422" t="s">
        <v>932</v>
      </c>
      <c r="Q422" t="s">
        <v>1098</v>
      </c>
      <c r="R422" t="s">
        <v>1101</v>
      </c>
    </row>
    <row r="423" spans="1:18" x14ac:dyDescent="0.25">
      <c r="A423" t="s">
        <v>82</v>
      </c>
      <c r="B423" t="s">
        <v>176</v>
      </c>
      <c r="C423" t="s">
        <v>299</v>
      </c>
      <c r="E423" t="s">
        <v>341</v>
      </c>
      <c r="F423" t="e">
        <f t="shared" ca="1" si="7"/>
        <v>#NAME?</v>
      </c>
      <c r="G423" t="s">
        <v>657</v>
      </c>
      <c r="H423" t="s">
        <v>583</v>
      </c>
      <c r="I423">
        <v>546</v>
      </c>
      <c r="J423" t="s">
        <v>932</v>
      </c>
      <c r="Q423" t="s">
        <v>1105</v>
      </c>
      <c r="R423" t="s">
        <v>1061</v>
      </c>
    </row>
    <row r="424" spans="1:18" x14ac:dyDescent="0.25">
      <c r="A424" t="s">
        <v>82</v>
      </c>
      <c r="B424" t="s">
        <v>176</v>
      </c>
      <c r="C424" t="s">
        <v>284</v>
      </c>
      <c r="D424" t="s">
        <v>175</v>
      </c>
      <c r="E424" t="s">
        <v>341</v>
      </c>
      <c r="F424" t="e">
        <f t="shared" ca="1" si="7"/>
        <v>#NAME?</v>
      </c>
      <c r="G424" t="s">
        <v>658</v>
      </c>
      <c r="H424" t="s">
        <v>894</v>
      </c>
      <c r="I424">
        <v>205</v>
      </c>
      <c r="J424" t="s">
        <v>932</v>
      </c>
      <c r="Q424" t="s">
        <v>1106</v>
      </c>
      <c r="R424" t="s">
        <v>1006</v>
      </c>
    </row>
    <row r="425" spans="1:18" x14ac:dyDescent="0.25">
      <c r="A425" t="s">
        <v>83</v>
      </c>
      <c r="B425" t="s">
        <v>177</v>
      </c>
      <c r="C425" t="s">
        <v>302</v>
      </c>
      <c r="D425" t="s">
        <v>138</v>
      </c>
      <c r="E425" t="s">
        <v>339</v>
      </c>
      <c r="F425" t="e">
        <f t="shared" ca="1" si="7"/>
        <v>#NAME?</v>
      </c>
      <c r="G425" t="s">
        <v>659</v>
      </c>
      <c r="H425" t="s">
        <v>639</v>
      </c>
      <c r="I425">
        <v>234</v>
      </c>
      <c r="J425" t="s">
        <v>932</v>
      </c>
      <c r="O425" t="s">
        <v>944</v>
      </c>
      <c r="Q425" t="s">
        <v>1107</v>
      </c>
      <c r="R425" t="s">
        <v>1095</v>
      </c>
    </row>
    <row r="426" spans="1:18" x14ac:dyDescent="0.25">
      <c r="A426" t="s">
        <v>84</v>
      </c>
      <c r="B426" t="s">
        <v>178</v>
      </c>
      <c r="C426" t="s">
        <v>256</v>
      </c>
      <c r="D426" t="s">
        <v>112</v>
      </c>
      <c r="E426" t="s">
        <v>340</v>
      </c>
      <c r="F426" t="e">
        <f t="shared" ca="1" si="7"/>
        <v>#NAME?</v>
      </c>
      <c r="G426" t="s">
        <v>660</v>
      </c>
      <c r="H426" t="s">
        <v>661</v>
      </c>
      <c r="I426">
        <v>436</v>
      </c>
      <c r="J426" t="s">
        <v>932</v>
      </c>
      <c r="Q426" t="s">
        <v>1011</v>
      </c>
      <c r="R426" t="s">
        <v>989</v>
      </c>
    </row>
    <row r="427" spans="1:18" x14ac:dyDescent="0.25">
      <c r="A427" t="s">
        <v>84</v>
      </c>
      <c r="B427" t="s">
        <v>178</v>
      </c>
      <c r="C427" t="s">
        <v>258</v>
      </c>
      <c r="D427" t="s">
        <v>117</v>
      </c>
      <c r="E427" t="s">
        <v>343</v>
      </c>
      <c r="F427" t="e">
        <f t="shared" ca="1" si="7"/>
        <v>#NAME?</v>
      </c>
      <c r="G427" t="s">
        <v>660</v>
      </c>
      <c r="H427" t="s">
        <v>895</v>
      </c>
      <c r="I427">
        <v>436</v>
      </c>
      <c r="J427" t="s">
        <v>932</v>
      </c>
      <c r="Q427" t="s">
        <v>1011</v>
      </c>
      <c r="R427" t="s">
        <v>1052</v>
      </c>
    </row>
    <row r="428" spans="1:18" x14ac:dyDescent="0.25">
      <c r="A428" t="s">
        <v>84</v>
      </c>
      <c r="B428" t="s">
        <v>178</v>
      </c>
      <c r="C428" t="s">
        <v>258</v>
      </c>
      <c r="D428" t="s">
        <v>117</v>
      </c>
      <c r="E428" t="s">
        <v>344</v>
      </c>
      <c r="F428" t="e">
        <f t="shared" ca="1" si="7"/>
        <v>#NAME?</v>
      </c>
      <c r="G428" t="s">
        <v>661</v>
      </c>
      <c r="H428" t="s">
        <v>854</v>
      </c>
      <c r="I428">
        <v>220</v>
      </c>
      <c r="J428" t="s">
        <v>932</v>
      </c>
      <c r="Q428" t="s">
        <v>989</v>
      </c>
      <c r="R428" t="s">
        <v>996</v>
      </c>
    </row>
    <row r="429" spans="1:18" x14ac:dyDescent="0.25">
      <c r="A429" t="s">
        <v>85</v>
      </c>
      <c r="B429" t="s">
        <v>179</v>
      </c>
      <c r="C429" t="s">
        <v>299</v>
      </c>
      <c r="E429" t="s">
        <v>341</v>
      </c>
      <c r="F429" t="e">
        <f t="shared" ca="1" si="7"/>
        <v>#NAME?</v>
      </c>
      <c r="G429" t="s">
        <v>662</v>
      </c>
      <c r="H429" t="s">
        <v>685</v>
      </c>
      <c r="I429">
        <v>930</v>
      </c>
      <c r="J429" t="s">
        <v>932</v>
      </c>
      <c r="Q429" t="s">
        <v>1020</v>
      </c>
      <c r="R429" t="s">
        <v>1021</v>
      </c>
    </row>
    <row r="430" spans="1:18" x14ac:dyDescent="0.25">
      <c r="A430" t="s">
        <v>85</v>
      </c>
      <c r="B430" t="s">
        <v>179</v>
      </c>
      <c r="C430" t="s">
        <v>299</v>
      </c>
      <c r="E430" t="s">
        <v>341</v>
      </c>
      <c r="F430" t="e">
        <f t="shared" ca="1" si="7"/>
        <v>#NAME?</v>
      </c>
      <c r="G430" t="s">
        <v>663</v>
      </c>
      <c r="H430" t="s">
        <v>611</v>
      </c>
      <c r="I430">
        <v>942</v>
      </c>
      <c r="J430" t="s">
        <v>932</v>
      </c>
      <c r="Q430" t="s">
        <v>1049</v>
      </c>
      <c r="R430" t="s">
        <v>1076</v>
      </c>
    </row>
    <row r="431" spans="1:18" x14ac:dyDescent="0.25">
      <c r="A431" t="s">
        <v>85</v>
      </c>
      <c r="B431" t="s">
        <v>179</v>
      </c>
      <c r="C431" t="s">
        <v>299</v>
      </c>
      <c r="E431" t="s">
        <v>341</v>
      </c>
      <c r="F431" t="e">
        <f t="shared" ca="1" si="7"/>
        <v>#NAME?</v>
      </c>
      <c r="G431" t="s">
        <v>664</v>
      </c>
      <c r="H431" t="s">
        <v>646</v>
      </c>
      <c r="I431">
        <v>918</v>
      </c>
      <c r="J431" t="s">
        <v>932</v>
      </c>
      <c r="Q431" t="s">
        <v>984</v>
      </c>
      <c r="R431" t="s">
        <v>1100</v>
      </c>
    </row>
    <row r="432" spans="1:18" x14ac:dyDescent="0.25">
      <c r="A432" t="s">
        <v>86</v>
      </c>
      <c r="B432" t="s">
        <v>180</v>
      </c>
      <c r="C432" t="s">
        <v>284</v>
      </c>
      <c r="D432" t="s">
        <v>175</v>
      </c>
      <c r="E432" t="s">
        <v>341</v>
      </c>
      <c r="F432" t="e">
        <f t="shared" ca="1" si="7"/>
        <v>#NAME?</v>
      </c>
      <c r="G432" t="s">
        <v>665</v>
      </c>
      <c r="H432" t="s">
        <v>896</v>
      </c>
      <c r="I432">
        <v>102</v>
      </c>
      <c r="J432" t="s">
        <v>932</v>
      </c>
      <c r="Q432" t="s">
        <v>1055</v>
      </c>
      <c r="R432" t="s">
        <v>1200</v>
      </c>
    </row>
    <row r="433" spans="1:18" x14ac:dyDescent="0.25">
      <c r="A433" t="s">
        <v>87</v>
      </c>
      <c r="B433" t="s">
        <v>181</v>
      </c>
      <c r="C433" t="s">
        <v>303</v>
      </c>
      <c r="D433" t="s">
        <v>124</v>
      </c>
      <c r="E433" t="s">
        <v>340</v>
      </c>
      <c r="F433" t="e">
        <f t="shared" ca="1" si="7"/>
        <v>#NAME?</v>
      </c>
      <c r="G433" t="s">
        <v>666</v>
      </c>
      <c r="H433" t="s">
        <v>897</v>
      </c>
      <c r="I433">
        <v>201</v>
      </c>
      <c r="J433" t="s">
        <v>932</v>
      </c>
      <c r="Q433" t="s">
        <v>1108</v>
      </c>
      <c r="R433" t="s">
        <v>1201</v>
      </c>
    </row>
    <row r="434" spans="1:18" x14ac:dyDescent="0.25">
      <c r="A434" t="s">
        <v>88</v>
      </c>
      <c r="B434" t="s">
        <v>182</v>
      </c>
      <c r="C434" t="s">
        <v>304</v>
      </c>
      <c r="D434" t="s">
        <v>168</v>
      </c>
      <c r="E434" t="s">
        <v>339</v>
      </c>
      <c r="F434" t="e">
        <f t="shared" ca="1" si="7"/>
        <v>#NAME?</v>
      </c>
      <c r="G434" t="s">
        <v>667</v>
      </c>
      <c r="H434" t="s">
        <v>685</v>
      </c>
      <c r="I434">
        <v>939</v>
      </c>
      <c r="J434" t="s">
        <v>932</v>
      </c>
      <c r="Q434" t="s">
        <v>1109</v>
      </c>
      <c r="R434" t="s">
        <v>1021</v>
      </c>
    </row>
    <row r="435" spans="1:18" x14ac:dyDescent="0.25">
      <c r="A435" t="s">
        <v>88</v>
      </c>
      <c r="B435" t="s">
        <v>182</v>
      </c>
      <c r="C435" t="s">
        <v>304</v>
      </c>
      <c r="D435" t="s">
        <v>168</v>
      </c>
      <c r="E435" t="s">
        <v>341</v>
      </c>
      <c r="F435" t="e">
        <f t="shared" ca="1" si="7"/>
        <v>#NAME?</v>
      </c>
      <c r="G435" t="s">
        <v>652</v>
      </c>
      <c r="H435" t="s">
        <v>686</v>
      </c>
      <c r="I435">
        <v>941</v>
      </c>
      <c r="J435" t="s">
        <v>932</v>
      </c>
      <c r="Q435" t="s">
        <v>1102</v>
      </c>
      <c r="R435" t="s">
        <v>1053</v>
      </c>
    </row>
    <row r="436" spans="1:18" x14ac:dyDescent="0.25">
      <c r="A436" t="s">
        <v>88</v>
      </c>
      <c r="B436" t="s">
        <v>182</v>
      </c>
      <c r="C436" t="s">
        <v>304</v>
      </c>
      <c r="D436" t="s">
        <v>168</v>
      </c>
      <c r="E436" t="s">
        <v>341</v>
      </c>
      <c r="F436" t="e">
        <f t="shared" ca="1" si="7"/>
        <v>#NAME?</v>
      </c>
      <c r="G436" t="s">
        <v>668</v>
      </c>
      <c r="H436" t="s">
        <v>671</v>
      </c>
      <c r="I436">
        <v>943</v>
      </c>
      <c r="J436" t="s">
        <v>932</v>
      </c>
      <c r="Q436" t="s">
        <v>1028</v>
      </c>
      <c r="R436" t="s">
        <v>1112</v>
      </c>
    </row>
    <row r="437" spans="1:18" x14ac:dyDescent="0.25">
      <c r="A437" t="s">
        <v>88</v>
      </c>
      <c r="B437" t="s">
        <v>182</v>
      </c>
      <c r="C437" t="s">
        <v>304</v>
      </c>
      <c r="D437" t="s">
        <v>168</v>
      </c>
      <c r="E437" t="s">
        <v>341</v>
      </c>
      <c r="F437" t="e">
        <f t="shared" ca="1" si="7"/>
        <v>#NAME?</v>
      </c>
      <c r="G437" t="s">
        <v>634</v>
      </c>
      <c r="H437" t="s">
        <v>594</v>
      </c>
      <c r="I437">
        <v>947</v>
      </c>
      <c r="J437" t="s">
        <v>932</v>
      </c>
      <c r="Q437" t="s">
        <v>1092</v>
      </c>
      <c r="R437" t="s">
        <v>982</v>
      </c>
    </row>
    <row r="438" spans="1:18" x14ac:dyDescent="0.25">
      <c r="A438" t="s">
        <v>88</v>
      </c>
      <c r="B438" t="s">
        <v>182</v>
      </c>
      <c r="C438" t="s">
        <v>304</v>
      </c>
      <c r="D438" t="s">
        <v>168</v>
      </c>
      <c r="E438" t="s">
        <v>341</v>
      </c>
      <c r="F438" t="e">
        <f t="shared" ca="1" si="7"/>
        <v>#NAME?</v>
      </c>
      <c r="G438" t="s">
        <v>589</v>
      </c>
      <c r="H438" t="s">
        <v>598</v>
      </c>
      <c r="I438">
        <v>953</v>
      </c>
      <c r="J438" t="s">
        <v>932</v>
      </c>
      <c r="Q438" t="s">
        <v>973</v>
      </c>
      <c r="R438" t="s">
        <v>974</v>
      </c>
    </row>
    <row r="439" spans="1:18" x14ac:dyDescent="0.25">
      <c r="A439" t="s">
        <v>89</v>
      </c>
      <c r="B439" t="s">
        <v>183</v>
      </c>
      <c r="C439" t="s">
        <v>222</v>
      </c>
      <c r="D439" t="s">
        <v>160</v>
      </c>
      <c r="E439" t="s">
        <v>349</v>
      </c>
      <c r="F439" t="e">
        <f t="shared" ca="1" si="7"/>
        <v>#NAME?</v>
      </c>
      <c r="G439" t="s">
        <v>585</v>
      </c>
      <c r="H439" t="s">
        <v>898</v>
      </c>
      <c r="I439">
        <v>436</v>
      </c>
      <c r="J439" t="s">
        <v>932</v>
      </c>
      <c r="Q439" t="s">
        <v>1063</v>
      </c>
      <c r="R439" t="s">
        <v>1134</v>
      </c>
    </row>
    <row r="440" spans="1:18" x14ac:dyDescent="0.25">
      <c r="A440" t="s">
        <v>89</v>
      </c>
      <c r="B440" t="s">
        <v>183</v>
      </c>
      <c r="C440" t="s">
        <v>299</v>
      </c>
      <c r="E440" t="s">
        <v>339</v>
      </c>
      <c r="F440" t="e">
        <f t="shared" ca="1" si="7"/>
        <v>#NAME?</v>
      </c>
      <c r="G440" t="s">
        <v>657</v>
      </c>
      <c r="H440" t="s">
        <v>873</v>
      </c>
      <c r="I440">
        <v>230</v>
      </c>
      <c r="J440" t="s">
        <v>932</v>
      </c>
      <c r="Q440" t="s">
        <v>1105</v>
      </c>
      <c r="R440" t="s">
        <v>1131</v>
      </c>
    </row>
    <row r="441" spans="1:18" x14ac:dyDescent="0.25">
      <c r="A441" t="s">
        <v>89</v>
      </c>
      <c r="B441" t="s">
        <v>183</v>
      </c>
      <c r="C441" t="s">
        <v>305</v>
      </c>
      <c r="D441" t="s">
        <v>178</v>
      </c>
      <c r="E441" t="s">
        <v>370</v>
      </c>
      <c r="F441" t="e">
        <f t="shared" ca="1" si="7"/>
        <v>#NAME?</v>
      </c>
      <c r="G441" t="s">
        <v>669</v>
      </c>
      <c r="H441" t="s">
        <v>873</v>
      </c>
      <c r="I441">
        <v>435</v>
      </c>
      <c r="J441" t="s">
        <v>932</v>
      </c>
      <c r="Q441" t="s">
        <v>1110</v>
      </c>
      <c r="R441" t="s">
        <v>1131</v>
      </c>
    </row>
    <row r="442" spans="1:18" x14ac:dyDescent="0.25">
      <c r="A442" t="s">
        <v>90</v>
      </c>
      <c r="B442" t="s">
        <v>183</v>
      </c>
      <c r="C442" t="s">
        <v>305</v>
      </c>
      <c r="D442" t="s">
        <v>178</v>
      </c>
      <c r="E442" t="s">
        <v>342</v>
      </c>
      <c r="F442" t="e">
        <f t="shared" ca="1" si="7"/>
        <v>#NAME?</v>
      </c>
      <c r="G442" t="s">
        <v>639</v>
      </c>
      <c r="H442" t="s">
        <v>672</v>
      </c>
      <c r="I442" t="s">
        <v>930</v>
      </c>
      <c r="J442" t="s">
        <v>932</v>
      </c>
      <c r="Q442" t="s">
        <v>1095</v>
      </c>
      <c r="R442" t="s">
        <v>975</v>
      </c>
    </row>
    <row r="443" spans="1:18" x14ac:dyDescent="0.25">
      <c r="A443" t="s">
        <v>91</v>
      </c>
      <c r="B443" t="s">
        <v>184</v>
      </c>
      <c r="C443" t="s">
        <v>223</v>
      </c>
      <c r="E443" t="s">
        <v>399</v>
      </c>
      <c r="F443" t="e">
        <f t="shared" ca="1" si="7"/>
        <v>#NAME?</v>
      </c>
      <c r="G443" t="s">
        <v>657</v>
      </c>
      <c r="H443" t="s">
        <v>688</v>
      </c>
      <c r="I443" s="1">
        <v>226</v>
      </c>
      <c r="J443" t="s">
        <v>932</v>
      </c>
      <c r="K443" t="s">
        <v>932</v>
      </c>
      <c r="Q443" t="s">
        <v>1105</v>
      </c>
      <c r="R443" t="s">
        <v>1057</v>
      </c>
    </row>
    <row r="444" spans="1:18" x14ac:dyDescent="0.25">
      <c r="A444" t="s">
        <v>92</v>
      </c>
      <c r="B444" t="s">
        <v>185</v>
      </c>
      <c r="C444" t="s">
        <v>241</v>
      </c>
      <c r="D444" t="s">
        <v>166</v>
      </c>
      <c r="E444" t="s">
        <v>341</v>
      </c>
      <c r="F444" t="e">
        <f t="shared" ca="1" si="7"/>
        <v>#NAME?</v>
      </c>
      <c r="G444" t="s">
        <v>670</v>
      </c>
      <c r="H444" t="s">
        <v>593</v>
      </c>
      <c r="I444">
        <v>588</v>
      </c>
      <c r="J444" t="s">
        <v>932</v>
      </c>
      <c r="Q444" t="s">
        <v>1111</v>
      </c>
      <c r="R444" t="s">
        <v>998</v>
      </c>
    </row>
    <row r="445" spans="1:18" x14ac:dyDescent="0.25">
      <c r="A445" t="s">
        <v>93</v>
      </c>
      <c r="B445" t="s">
        <v>186</v>
      </c>
      <c r="C445" t="s">
        <v>306</v>
      </c>
      <c r="D445" t="s">
        <v>146</v>
      </c>
      <c r="E445" t="s">
        <v>341</v>
      </c>
      <c r="F445" t="e">
        <f t="shared" ca="1" si="7"/>
        <v>#NAME?</v>
      </c>
      <c r="G445" t="s">
        <v>671</v>
      </c>
      <c r="H445" t="s">
        <v>899</v>
      </c>
      <c r="I445">
        <v>215</v>
      </c>
      <c r="J445" t="s">
        <v>932</v>
      </c>
      <c r="Q445" t="s">
        <v>1112</v>
      </c>
      <c r="R445" t="s">
        <v>1019</v>
      </c>
    </row>
    <row r="446" spans="1:18" x14ac:dyDescent="0.25">
      <c r="A446" t="s">
        <v>93</v>
      </c>
      <c r="B446" t="s">
        <v>186</v>
      </c>
      <c r="C446" t="s">
        <v>251</v>
      </c>
      <c r="D446" t="s">
        <v>147</v>
      </c>
      <c r="E446" t="s">
        <v>347</v>
      </c>
      <c r="F446" t="e">
        <f t="shared" ca="1" si="7"/>
        <v>#NAME?</v>
      </c>
      <c r="G446" t="s">
        <v>672</v>
      </c>
      <c r="H446" t="s">
        <v>871</v>
      </c>
      <c r="I446">
        <v>125</v>
      </c>
      <c r="J446" t="s">
        <v>932</v>
      </c>
      <c r="K446" s="1">
        <v>45076</v>
      </c>
      <c r="O446" t="s">
        <v>956</v>
      </c>
      <c r="Q446" t="s">
        <v>975</v>
      </c>
      <c r="R446" t="s">
        <v>1183</v>
      </c>
    </row>
    <row r="447" spans="1:18" x14ac:dyDescent="0.25">
      <c r="A447" t="s">
        <v>93</v>
      </c>
      <c r="B447" t="s">
        <v>186</v>
      </c>
      <c r="C447" t="s">
        <v>251</v>
      </c>
      <c r="D447" t="s">
        <v>147</v>
      </c>
      <c r="E447" t="s">
        <v>350</v>
      </c>
      <c r="F447" t="e">
        <f t="shared" ca="1" si="7"/>
        <v>#NAME?</v>
      </c>
      <c r="G447" t="s">
        <v>609</v>
      </c>
      <c r="H447" t="s">
        <v>900</v>
      </c>
      <c r="I447">
        <v>125</v>
      </c>
      <c r="J447" t="s">
        <v>932</v>
      </c>
      <c r="L447" s="1">
        <v>45072</v>
      </c>
      <c r="O447" t="s">
        <v>957</v>
      </c>
      <c r="Q447" t="s">
        <v>1003</v>
      </c>
      <c r="R447" t="s">
        <v>1202</v>
      </c>
    </row>
    <row r="448" spans="1:18" x14ac:dyDescent="0.25">
      <c r="A448" t="s">
        <v>93</v>
      </c>
      <c r="B448" t="s">
        <v>186</v>
      </c>
      <c r="C448" t="s">
        <v>252</v>
      </c>
      <c r="D448" t="s">
        <v>148</v>
      </c>
      <c r="E448" t="s">
        <v>341</v>
      </c>
      <c r="F448" t="e">
        <f t="shared" ca="1" si="7"/>
        <v>#NAME?</v>
      </c>
      <c r="G448" t="s">
        <v>617</v>
      </c>
      <c r="H448" t="s">
        <v>901</v>
      </c>
      <c r="I448">
        <v>12</v>
      </c>
      <c r="J448" t="s">
        <v>932</v>
      </c>
      <c r="Q448" t="s">
        <v>1081</v>
      </c>
      <c r="R448" t="s">
        <v>1015</v>
      </c>
    </row>
    <row r="449" spans="1:18" x14ac:dyDescent="0.25">
      <c r="A449" t="s">
        <v>93</v>
      </c>
      <c r="B449" t="s">
        <v>186</v>
      </c>
      <c r="C449" t="s">
        <v>238</v>
      </c>
      <c r="D449" t="s">
        <v>155</v>
      </c>
      <c r="E449" t="s">
        <v>344</v>
      </c>
      <c r="F449" t="e">
        <f t="shared" ca="1" si="7"/>
        <v>#NAME?</v>
      </c>
      <c r="G449" t="s">
        <v>621</v>
      </c>
      <c r="H449" t="s">
        <v>902</v>
      </c>
      <c r="I449">
        <v>815</v>
      </c>
      <c r="J449" t="s">
        <v>932</v>
      </c>
      <c r="Q449" t="s">
        <v>1083</v>
      </c>
      <c r="R449" t="s">
        <v>1203</v>
      </c>
    </row>
    <row r="450" spans="1:18" x14ac:dyDescent="0.25">
      <c r="A450" t="s">
        <v>93</v>
      </c>
      <c r="B450" t="s">
        <v>186</v>
      </c>
      <c r="C450" t="s">
        <v>238</v>
      </c>
      <c r="D450" t="s">
        <v>155</v>
      </c>
      <c r="E450" t="s">
        <v>400</v>
      </c>
      <c r="F450" t="e">
        <f t="shared" ca="1" si="7"/>
        <v>#NAME?</v>
      </c>
      <c r="G450" t="s">
        <v>589</v>
      </c>
      <c r="H450" t="s">
        <v>903</v>
      </c>
      <c r="I450">
        <v>121</v>
      </c>
      <c r="J450" t="s">
        <v>932</v>
      </c>
      <c r="L450" s="1">
        <v>45071</v>
      </c>
      <c r="O450" t="s">
        <v>958</v>
      </c>
      <c r="Q450" t="s">
        <v>973</v>
      </c>
      <c r="R450" t="s">
        <v>1204</v>
      </c>
    </row>
    <row r="451" spans="1:18" x14ac:dyDescent="0.25">
      <c r="A451" t="s">
        <v>93</v>
      </c>
      <c r="B451" t="s">
        <v>186</v>
      </c>
      <c r="C451" t="s">
        <v>238</v>
      </c>
      <c r="D451" t="s">
        <v>155</v>
      </c>
      <c r="E451" t="s">
        <v>356</v>
      </c>
      <c r="F451" t="e">
        <f t="shared" ref="F451:F514" ca="1" si="8">ConvertToOAG(E451)</f>
        <v>#NAME?</v>
      </c>
      <c r="G451" t="s">
        <v>673</v>
      </c>
      <c r="H451" t="s">
        <v>904</v>
      </c>
      <c r="I451">
        <v>121</v>
      </c>
      <c r="J451" t="s">
        <v>932</v>
      </c>
      <c r="L451" s="1">
        <v>45075</v>
      </c>
      <c r="O451" t="s">
        <v>959</v>
      </c>
      <c r="Q451" t="s">
        <v>1113</v>
      </c>
      <c r="R451" t="s">
        <v>1205</v>
      </c>
    </row>
    <row r="452" spans="1:18" x14ac:dyDescent="0.25">
      <c r="A452" t="s">
        <v>93</v>
      </c>
      <c r="B452" t="s">
        <v>186</v>
      </c>
      <c r="C452" t="s">
        <v>227</v>
      </c>
      <c r="D452" t="s">
        <v>168</v>
      </c>
      <c r="E452" t="s">
        <v>341</v>
      </c>
      <c r="F452" t="e">
        <f t="shared" ca="1" si="8"/>
        <v>#NAME?</v>
      </c>
      <c r="G452" t="s">
        <v>614</v>
      </c>
      <c r="H452" t="s">
        <v>885</v>
      </c>
      <c r="I452">
        <v>12</v>
      </c>
      <c r="J452" t="s">
        <v>932</v>
      </c>
      <c r="Q452" t="s">
        <v>987</v>
      </c>
      <c r="R452" t="s">
        <v>1162</v>
      </c>
    </row>
    <row r="453" spans="1:18" x14ac:dyDescent="0.25">
      <c r="A453" t="s">
        <v>93</v>
      </c>
      <c r="B453" t="s">
        <v>186</v>
      </c>
      <c r="C453" t="s">
        <v>227</v>
      </c>
      <c r="D453" t="s">
        <v>168</v>
      </c>
      <c r="E453" t="s">
        <v>341</v>
      </c>
      <c r="F453" t="e">
        <f t="shared" ca="1" si="8"/>
        <v>#NAME?</v>
      </c>
      <c r="G453" t="s">
        <v>592</v>
      </c>
      <c r="H453" t="s">
        <v>622</v>
      </c>
      <c r="J453" t="s">
        <v>932</v>
      </c>
      <c r="Q453" t="s">
        <v>1050</v>
      </c>
      <c r="R453" t="s">
        <v>1084</v>
      </c>
    </row>
    <row r="454" spans="1:18" x14ac:dyDescent="0.25">
      <c r="A454" t="s">
        <v>93</v>
      </c>
      <c r="B454" t="s">
        <v>186</v>
      </c>
      <c r="C454" t="s">
        <v>307</v>
      </c>
      <c r="D454" t="s">
        <v>187</v>
      </c>
      <c r="E454" t="s">
        <v>400</v>
      </c>
      <c r="F454" t="e">
        <f t="shared" ca="1" si="8"/>
        <v>#NAME?</v>
      </c>
      <c r="G454" t="s">
        <v>665</v>
      </c>
      <c r="H454" t="s">
        <v>639</v>
      </c>
      <c r="I454">
        <v>122</v>
      </c>
      <c r="J454" t="s">
        <v>932</v>
      </c>
      <c r="L454" s="1">
        <v>45071</v>
      </c>
      <c r="Q454" t="s">
        <v>1055</v>
      </c>
      <c r="R454" t="s">
        <v>1095</v>
      </c>
    </row>
    <row r="455" spans="1:18" x14ac:dyDescent="0.25">
      <c r="A455" t="s">
        <v>93</v>
      </c>
      <c r="B455" t="s">
        <v>186</v>
      </c>
      <c r="C455" t="s">
        <v>308</v>
      </c>
      <c r="D455" t="s">
        <v>196</v>
      </c>
      <c r="E455" t="s">
        <v>341</v>
      </c>
      <c r="F455" t="e">
        <f t="shared" ca="1" si="8"/>
        <v>#NAME?</v>
      </c>
      <c r="G455" t="s">
        <v>674</v>
      </c>
      <c r="H455" t="s">
        <v>905</v>
      </c>
      <c r="I455">
        <v>11</v>
      </c>
      <c r="J455" t="s">
        <v>932</v>
      </c>
      <c r="Q455" t="s">
        <v>1114</v>
      </c>
      <c r="R455" t="s">
        <v>1105</v>
      </c>
    </row>
    <row r="456" spans="1:18" x14ac:dyDescent="0.25">
      <c r="A456" t="s">
        <v>94</v>
      </c>
      <c r="B456" t="s">
        <v>187</v>
      </c>
      <c r="C456" t="s">
        <v>309</v>
      </c>
      <c r="D456" t="s">
        <v>154</v>
      </c>
      <c r="E456" t="s">
        <v>400</v>
      </c>
      <c r="F456" t="e">
        <f t="shared" ca="1" si="8"/>
        <v>#NAME?</v>
      </c>
      <c r="G456" t="s">
        <v>609</v>
      </c>
      <c r="H456" t="s">
        <v>906</v>
      </c>
      <c r="I456">
        <v>22</v>
      </c>
      <c r="J456" t="s">
        <v>932</v>
      </c>
      <c r="L456" s="1">
        <v>45071</v>
      </c>
      <c r="O456" t="s">
        <v>960</v>
      </c>
      <c r="Q456" t="s">
        <v>1003</v>
      </c>
      <c r="R456" t="s">
        <v>998</v>
      </c>
    </row>
    <row r="457" spans="1:18" x14ac:dyDescent="0.25">
      <c r="A457" t="s">
        <v>94</v>
      </c>
      <c r="B457" t="s">
        <v>187</v>
      </c>
      <c r="C457" t="s">
        <v>309</v>
      </c>
      <c r="D457" t="s">
        <v>154</v>
      </c>
      <c r="E457" t="s">
        <v>373</v>
      </c>
      <c r="F457" t="e">
        <f t="shared" ca="1" si="8"/>
        <v>#NAME?</v>
      </c>
      <c r="G457" t="s">
        <v>589</v>
      </c>
      <c r="H457" t="s">
        <v>907</v>
      </c>
      <c r="I457">
        <v>22</v>
      </c>
      <c r="J457" t="s">
        <v>932</v>
      </c>
      <c r="K457" s="1">
        <v>45076</v>
      </c>
      <c r="O457" t="s">
        <v>961</v>
      </c>
      <c r="Q457" t="s">
        <v>973</v>
      </c>
      <c r="R457" t="s">
        <v>1008</v>
      </c>
    </row>
    <row r="458" spans="1:18" x14ac:dyDescent="0.25">
      <c r="A458" t="s">
        <v>94</v>
      </c>
      <c r="B458" t="s">
        <v>187</v>
      </c>
      <c r="C458" t="s">
        <v>224</v>
      </c>
      <c r="D458" t="s">
        <v>186</v>
      </c>
      <c r="E458" t="s">
        <v>353</v>
      </c>
      <c r="F458" t="e">
        <f t="shared" ca="1" si="8"/>
        <v>#NAME?</v>
      </c>
      <c r="G458" t="s">
        <v>665</v>
      </c>
      <c r="H458" t="s">
        <v>908</v>
      </c>
      <c r="I458">
        <v>125</v>
      </c>
      <c r="J458" t="s">
        <v>932</v>
      </c>
      <c r="L458" s="1">
        <v>45072</v>
      </c>
      <c r="O458" t="s">
        <v>962</v>
      </c>
      <c r="Q458" t="s">
        <v>1055</v>
      </c>
      <c r="R458" t="s">
        <v>1206</v>
      </c>
    </row>
    <row r="459" spans="1:18" x14ac:dyDescent="0.25">
      <c r="A459" t="s">
        <v>95</v>
      </c>
      <c r="B459" t="s">
        <v>188</v>
      </c>
      <c r="C459" t="s">
        <v>239</v>
      </c>
      <c r="D459" t="s">
        <v>173</v>
      </c>
      <c r="E459" t="s">
        <v>357</v>
      </c>
      <c r="F459" t="e">
        <f t="shared" ca="1" si="8"/>
        <v>#NAME?</v>
      </c>
      <c r="G459" t="s">
        <v>593</v>
      </c>
      <c r="H459" t="s">
        <v>684</v>
      </c>
      <c r="I459">
        <v>830</v>
      </c>
      <c r="J459" t="s">
        <v>932</v>
      </c>
      <c r="Q459" t="s">
        <v>998</v>
      </c>
      <c r="R459" t="s">
        <v>1041</v>
      </c>
    </row>
    <row r="460" spans="1:18" x14ac:dyDescent="0.25">
      <c r="A460" t="s">
        <v>95</v>
      </c>
      <c r="B460" t="s">
        <v>188</v>
      </c>
      <c r="C460" t="s">
        <v>225</v>
      </c>
      <c r="D460" t="s">
        <v>196</v>
      </c>
      <c r="E460" t="s">
        <v>339</v>
      </c>
      <c r="F460" t="e">
        <f t="shared" ca="1" si="8"/>
        <v>#NAME?</v>
      </c>
      <c r="G460" t="s">
        <v>611</v>
      </c>
      <c r="H460" t="s">
        <v>594</v>
      </c>
      <c r="I460">
        <v>12</v>
      </c>
      <c r="J460" t="s">
        <v>932</v>
      </c>
      <c r="Q460" t="s">
        <v>1076</v>
      </c>
      <c r="R460" t="s">
        <v>982</v>
      </c>
    </row>
    <row r="461" spans="1:18" x14ac:dyDescent="0.25">
      <c r="A461" t="s">
        <v>95</v>
      </c>
      <c r="B461" t="s">
        <v>188</v>
      </c>
      <c r="C461" t="s">
        <v>225</v>
      </c>
      <c r="D461" t="s">
        <v>196</v>
      </c>
      <c r="E461" t="s">
        <v>401</v>
      </c>
      <c r="F461" t="e">
        <f t="shared" ca="1" si="8"/>
        <v>#NAME?</v>
      </c>
      <c r="G461" t="s">
        <v>657</v>
      </c>
      <c r="H461" t="s">
        <v>682</v>
      </c>
      <c r="I461">
        <v>800</v>
      </c>
      <c r="J461" t="s">
        <v>932</v>
      </c>
      <c r="Q461" t="s">
        <v>1105</v>
      </c>
      <c r="R461" t="s">
        <v>1122</v>
      </c>
    </row>
    <row r="462" spans="1:18" x14ac:dyDescent="0.25">
      <c r="A462" t="s">
        <v>96</v>
      </c>
      <c r="B462" t="s">
        <v>189</v>
      </c>
      <c r="C462" t="s">
        <v>225</v>
      </c>
      <c r="D462" t="s">
        <v>196</v>
      </c>
      <c r="E462" t="s">
        <v>390</v>
      </c>
      <c r="F462" t="e">
        <f t="shared" ca="1" si="8"/>
        <v>#NAME?</v>
      </c>
      <c r="G462" t="s">
        <v>592</v>
      </c>
      <c r="H462" t="s">
        <v>682</v>
      </c>
      <c r="I462">
        <v>18</v>
      </c>
      <c r="J462" t="s">
        <v>932</v>
      </c>
      <c r="Q462" t="s">
        <v>1050</v>
      </c>
      <c r="R462" t="s">
        <v>1122</v>
      </c>
    </row>
    <row r="463" spans="1:18" x14ac:dyDescent="0.25">
      <c r="A463" t="s">
        <v>97</v>
      </c>
      <c r="B463" t="s">
        <v>190</v>
      </c>
      <c r="C463" t="s">
        <v>306</v>
      </c>
      <c r="D463" t="s">
        <v>146</v>
      </c>
      <c r="E463" t="s">
        <v>341</v>
      </c>
      <c r="F463" t="e">
        <f t="shared" ca="1" si="8"/>
        <v>#NAME?</v>
      </c>
      <c r="G463" t="s">
        <v>675</v>
      </c>
      <c r="H463" t="s">
        <v>909</v>
      </c>
      <c r="I463">
        <v>6</v>
      </c>
      <c r="J463" t="s">
        <v>932</v>
      </c>
      <c r="Q463" t="s">
        <v>1115</v>
      </c>
      <c r="R463" t="s">
        <v>1207</v>
      </c>
    </row>
    <row r="464" spans="1:18" x14ac:dyDescent="0.25">
      <c r="A464" t="s">
        <v>98</v>
      </c>
      <c r="B464" t="s">
        <v>191</v>
      </c>
      <c r="C464" t="s">
        <v>234</v>
      </c>
      <c r="D464" t="s">
        <v>119</v>
      </c>
      <c r="E464" t="s">
        <v>348</v>
      </c>
      <c r="F464" t="e">
        <f t="shared" ca="1" si="8"/>
        <v>#NAME?</v>
      </c>
      <c r="G464" t="s">
        <v>676</v>
      </c>
      <c r="H464" t="s">
        <v>910</v>
      </c>
      <c r="I464">
        <v>660</v>
      </c>
      <c r="J464" t="s">
        <v>932</v>
      </c>
      <c r="Q464" t="s">
        <v>1116</v>
      </c>
      <c r="R464" t="s">
        <v>1042</v>
      </c>
    </row>
    <row r="465" spans="1:18" x14ac:dyDescent="0.25">
      <c r="A465" t="s">
        <v>98</v>
      </c>
      <c r="B465" t="s">
        <v>191</v>
      </c>
      <c r="C465" t="s">
        <v>234</v>
      </c>
      <c r="D465" t="s">
        <v>119</v>
      </c>
      <c r="E465" t="s">
        <v>349</v>
      </c>
      <c r="F465" t="e">
        <f t="shared" ca="1" si="8"/>
        <v>#NAME?</v>
      </c>
      <c r="G465" t="s">
        <v>677</v>
      </c>
      <c r="H465" t="s">
        <v>911</v>
      </c>
      <c r="I465">
        <v>662</v>
      </c>
      <c r="J465" t="s">
        <v>932</v>
      </c>
      <c r="Q465" t="s">
        <v>1117</v>
      </c>
      <c r="R465" t="s">
        <v>1138</v>
      </c>
    </row>
    <row r="466" spans="1:18" x14ac:dyDescent="0.25">
      <c r="A466" t="s">
        <v>98</v>
      </c>
      <c r="B466" t="s">
        <v>191</v>
      </c>
      <c r="C466" t="s">
        <v>234</v>
      </c>
      <c r="D466" t="s">
        <v>119</v>
      </c>
      <c r="E466" t="s">
        <v>402</v>
      </c>
      <c r="F466" t="e">
        <f t="shared" ca="1" si="8"/>
        <v>#NAME?</v>
      </c>
      <c r="G466" t="s">
        <v>617</v>
      </c>
      <c r="H466" t="s">
        <v>663</v>
      </c>
      <c r="I466">
        <v>92</v>
      </c>
      <c r="J466" t="s">
        <v>932</v>
      </c>
      <c r="Q466" t="s">
        <v>1081</v>
      </c>
      <c r="R466" t="s">
        <v>1049</v>
      </c>
    </row>
    <row r="467" spans="1:18" x14ac:dyDescent="0.25">
      <c r="A467" t="s">
        <v>98</v>
      </c>
      <c r="B467" t="s">
        <v>191</v>
      </c>
      <c r="C467" t="s">
        <v>234</v>
      </c>
      <c r="D467" t="s">
        <v>119</v>
      </c>
      <c r="E467" t="s">
        <v>348</v>
      </c>
      <c r="F467" t="e">
        <f t="shared" ca="1" si="8"/>
        <v>#NAME?</v>
      </c>
      <c r="G467" t="s">
        <v>606</v>
      </c>
      <c r="H467" t="s">
        <v>665</v>
      </c>
      <c r="I467">
        <v>664</v>
      </c>
      <c r="J467" t="s">
        <v>932</v>
      </c>
      <c r="Q467" t="s">
        <v>976</v>
      </c>
      <c r="R467" t="s">
        <v>1055</v>
      </c>
    </row>
    <row r="468" spans="1:18" x14ac:dyDescent="0.25">
      <c r="A468" t="s">
        <v>98</v>
      </c>
      <c r="B468" t="s">
        <v>191</v>
      </c>
      <c r="C468" t="s">
        <v>234</v>
      </c>
      <c r="D468" t="s">
        <v>119</v>
      </c>
      <c r="E468" t="s">
        <v>349</v>
      </c>
      <c r="F468" t="e">
        <f t="shared" ca="1" si="8"/>
        <v>#NAME?</v>
      </c>
      <c r="G468" t="s">
        <v>678</v>
      </c>
      <c r="H468" t="s">
        <v>682</v>
      </c>
      <c r="I468">
        <v>666</v>
      </c>
      <c r="J468" t="s">
        <v>932</v>
      </c>
      <c r="Q468" t="s">
        <v>1118</v>
      </c>
      <c r="R468" t="s">
        <v>1122</v>
      </c>
    </row>
    <row r="469" spans="1:18" x14ac:dyDescent="0.25">
      <c r="A469" t="s">
        <v>98</v>
      </c>
      <c r="B469" t="s">
        <v>191</v>
      </c>
      <c r="C469" t="s">
        <v>234</v>
      </c>
      <c r="D469" t="s">
        <v>119</v>
      </c>
      <c r="E469" t="s">
        <v>341</v>
      </c>
      <c r="F469" t="e">
        <f t="shared" ca="1" si="8"/>
        <v>#NAME?</v>
      </c>
      <c r="G469" t="s">
        <v>654</v>
      </c>
      <c r="H469" t="s">
        <v>912</v>
      </c>
      <c r="I469">
        <v>668</v>
      </c>
      <c r="J469" t="s">
        <v>932</v>
      </c>
      <c r="O469" t="s">
        <v>963</v>
      </c>
      <c r="Q469" t="s">
        <v>1004</v>
      </c>
      <c r="R469" t="s">
        <v>1208</v>
      </c>
    </row>
    <row r="470" spans="1:18" x14ac:dyDescent="0.25">
      <c r="A470" t="s">
        <v>98</v>
      </c>
      <c r="B470" t="s">
        <v>191</v>
      </c>
      <c r="C470" t="s">
        <v>248</v>
      </c>
      <c r="D470" t="s">
        <v>122</v>
      </c>
      <c r="E470" t="s">
        <v>341</v>
      </c>
      <c r="F470" t="e">
        <f t="shared" ca="1" si="8"/>
        <v>#NAME?</v>
      </c>
      <c r="G470" t="s">
        <v>679</v>
      </c>
      <c r="H470" t="s">
        <v>585</v>
      </c>
      <c r="I470">
        <v>107</v>
      </c>
      <c r="J470" t="s">
        <v>932</v>
      </c>
      <c r="Q470" t="s">
        <v>1119</v>
      </c>
      <c r="R470" t="s">
        <v>1063</v>
      </c>
    </row>
    <row r="471" spans="1:18" x14ac:dyDescent="0.25">
      <c r="A471" t="s">
        <v>98</v>
      </c>
      <c r="B471" t="s">
        <v>191</v>
      </c>
      <c r="C471" t="s">
        <v>254</v>
      </c>
      <c r="D471" t="s">
        <v>115</v>
      </c>
      <c r="E471" t="s">
        <v>340</v>
      </c>
      <c r="F471" t="e">
        <f t="shared" ca="1" si="8"/>
        <v>#NAME?</v>
      </c>
      <c r="G471" t="s">
        <v>643</v>
      </c>
      <c r="H471" t="s">
        <v>631</v>
      </c>
      <c r="I471">
        <v>812</v>
      </c>
      <c r="J471" t="s">
        <v>932</v>
      </c>
      <c r="Q471" t="s">
        <v>978</v>
      </c>
      <c r="R471" t="s">
        <v>1089</v>
      </c>
    </row>
    <row r="472" spans="1:18" x14ac:dyDescent="0.25">
      <c r="A472" t="s">
        <v>99</v>
      </c>
      <c r="B472" t="s">
        <v>192</v>
      </c>
      <c r="C472" t="s">
        <v>251</v>
      </c>
      <c r="D472" t="s">
        <v>147</v>
      </c>
      <c r="E472" t="s">
        <v>356</v>
      </c>
      <c r="F472" t="e">
        <f t="shared" ca="1" si="8"/>
        <v>#NAME?</v>
      </c>
      <c r="G472" t="s">
        <v>680</v>
      </c>
      <c r="H472" t="s">
        <v>913</v>
      </c>
      <c r="I472">
        <v>812</v>
      </c>
      <c r="J472" t="s">
        <v>932</v>
      </c>
      <c r="Q472" t="s">
        <v>1120</v>
      </c>
      <c r="R472" t="s">
        <v>1133</v>
      </c>
    </row>
    <row r="473" spans="1:18" x14ac:dyDescent="0.25">
      <c r="A473" t="s">
        <v>99</v>
      </c>
      <c r="B473" t="s">
        <v>192</v>
      </c>
      <c r="C473" t="s">
        <v>238</v>
      </c>
      <c r="D473" t="s">
        <v>155</v>
      </c>
      <c r="E473" t="s">
        <v>354</v>
      </c>
      <c r="F473" t="e">
        <f t="shared" ca="1" si="8"/>
        <v>#NAME?</v>
      </c>
      <c r="G473" t="s">
        <v>665</v>
      </c>
      <c r="H473" t="s">
        <v>859</v>
      </c>
      <c r="I473">
        <v>816</v>
      </c>
      <c r="J473" t="s">
        <v>932</v>
      </c>
      <c r="Q473" t="s">
        <v>1055</v>
      </c>
      <c r="R473" t="s">
        <v>988</v>
      </c>
    </row>
    <row r="474" spans="1:18" x14ac:dyDescent="0.25">
      <c r="A474" t="s">
        <v>99</v>
      </c>
      <c r="B474" t="s">
        <v>192</v>
      </c>
      <c r="C474" t="s">
        <v>310</v>
      </c>
      <c r="D474" t="s">
        <v>158</v>
      </c>
      <c r="E474" t="s">
        <v>354</v>
      </c>
      <c r="F474" t="e">
        <f t="shared" ca="1" si="8"/>
        <v>#NAME?</v>
      </c>
      <c r="G474" t="s">
        <v>675</v>
      </c>
      <c r="H474" t="s">
        <v>633</v>
      </c>
      <c r="I474">
        <v>815</v>
      </c>
      <c r="J474" t="s">
        <v>932</v>
      </c>
      <c r="O474" t="s">
        <v>944</v>
      </c>
      <c r="Q474" t="s">
        <v>1115</v>
      </c>
      <c r="R474" t="s">
        <v>1091</v>
      </c>
    </row>
    <row r="475" spans="1:18" x14ac:dyDescent="0.25">
      <c r="A475" t="s">
        <v>99</v>
      </c>
      <c r="B475" t="s">
        <v>192</v>
      </c>
      <c r="C475" t="s">
        <v>310</v>
      </c>
      <c r="D475" t="s">
        <v>158</v>
      </c>
      <c r="E475" t="s">
        <v>356</v>
      </c>
      <c r="F475" t="e">
        <f t="shared" ca="1" si="8"/>
        <v>#NAME?</v>
      </c>
      <c r="G475" t="s">
        <v>661</v>
      </c>
      <c r="H475" t="s">
        <v>695</v>
      </c>
      <c r="I475">
        <v>811</v>
      </c>
      <c r="J475" t="s">
        <v>932</v>
      </c>
      <c r="O475" t="s">
        <v>944</v>
      </c>
      <c r="Q475" t="s">
        <v>989</v>
      </c>
      <c r="R475" t="s">
        <v>1127</v>
      </c>
    </row>
    <row r="476" spans="1:18" x14ac:dyDescent="0.25">
      <c r="A476" t="s">
        <v>100</v>
      </c>
      <c r="B476" t="s">
        <v>193</v>
      </c>
      <c r="C476" t="s">
        <v>227</v>
      </c>
      <c r="D476" t="s">
        <v>168</v>
      </c>
      <c r="E476" t="s">
        <v>349</v>
      </c>
      <c r="F476" t="e">
        <f t="shared" ca="1" si="8"/>
        <v>#NAME?</v>
      </c>
      <c r="G476" t="s">
        <v>660</v>
      </c>
      <c r="H476" t="s">
        <v>685</v>
      </c>
      <c r="I476">
        <v>929</v>
      </c>
      <c r="J476" t="s">
        <v>932</v>
      </c>
      <c r="Q476" t="s">
        <v>1011</v>
      </c>
      <c r="R476" t="s">
        <v>1021</v>
      </c>
    </row>
    <row r="477" spans="1:18" x14ac:dyDescent="0.25">
      <c r="A477" t="s">
        <v>100</v>
      </c>
      <c r="B477" t="s">
        <v>193</v>
      </c>
      <c r="C477" t="s">
        <v>227</v>
      </c>
      <c r="D477" t="s">
        <v>168</v>
      </c>
      <c r="E477" t="s">
        <v>348</v>
      </c>
      <c r="F477" t="e">
        <f t="shared" ca="1" si="8"/>
        <v>#NAME?</v>
      </c>
      <c r="G477" t="s">
        <v>681</v>
      </c>
      <c r="H477" t="s">
        <v>599</v>
      </c>
      <c r="I477">
        <v>931</v>
      </c>
      <c r="J477" t="s">
        <v>932</v>
      </c>
      <c r="Q477" t="s">
        <v>1121</v>
      </c>
      <c r="R477" t="s">
        <v>977</v>
      </c>
    </row>
    <row r="478" spans="1:18" x14ac:dyDescent="0.25">
      <c r="A478" t="s">
        <v>100</v>
      </c>
      <c r="B478" t="s">
        <v>193</v>
      </c>
      <c r="C478" t="s">
        <v>227</v>
      </c>
      <c r="D478" t="s">
        <v>168</v>
      </c>
      <c r="E478" t="s">
        <v>341</v>
      </c>
      <c r="F478" t="e">
        <f t="shared" ca="1" si="8"/>
        <v>#NAME?</v>
      </c>
      <c r="G478" t="s">
        <v>606</v>
      </c>
      <c r="H478" t="s">
        <v>855</v>
      </c>
      <c r="I478">
        <v>933</v>
      </c>
      <c r="J478" t="s">
        <v>932</v>
      </c>
      <c r="Q478" t="s">
        <v>976</v>
      </c>
      <c r="R478" t="s">
        <v>1025</v>
      </c>
    </row>
    <row r="479" spans="1:18" x14ac:dyDescent="0.25">
      <c r="A479" t="s">
        <v>100</v>
      </c>
      <c r="B479" t="s">
        <v>193</v>
      </c>
      <c r="C479" t="s">
        <v>227</v>
      </c>
      <c r="D479" t="s">
        <v>168</v>
      </c>
      <c r="E479" t="s">
        <v>341</v>
      </c>
      <c r="F479" t="e">
        <f t="shared" ca="1" si="8"/>
        <v>#NAME?</v>
      </c>
      <c r="G479" t="s">
        <v>682</v>
      </c>
      <c r="H479" t="s">
        <v>612</v>
      </c>
      <c r="I479">
        <v>935</v>
      </c>
      <c r="J479" t="s">
        <v>932</v>
      </c>
      <c r="Q479" t="s">
        <v>1122</v>
      </c>
      <c r="R479" t="s">
        <v>1077</v>
      </c>
    </row>
    <row r="480" spans="1:18" x14ac:dyDescent="0.25">
      <c r="A480" t="s">
        <v>100</v>
      </c>
      <c r="B480" t="s">
        <v>193</v>
      </c>
      <c r="C480" t="s">
        <v>227</v>
      </c>
      <c r="D480" t="s">
        <v>168</v>
      </c>
      <c r="E480" t="s">
        <v>341</v>
      </c>
      <c r="F480" t="e">
        <f t="shared" ca="1" si="8"/>
        <v>#NAME?</v>
      </c>
      <c r="G480" t="s">
        <v>683</v>
      </c>
      <c r="H480" t="s">
        <v>598</v>
      </c>
      <c r="I480">
        <v>937</v>
      </c>
      <c r="J480" t="s">
        <v>932</v>
      </c>
      <c r="Q480" t="s">
        <v>1032</v>
      </c>
      <c r="R480" t="s">
        <v>974</v>
      </c>
    </row>
    <row r="481" spans="1:18" x14ac:dyDescent="0.25">
      <c r="A481" t="s">
        <v>101</v>
      </c>
      <c r="B481" t="s">
        <v>194</v>
      </c>
      <c r="C481" t="s">
        <v>225</v>
      </c>
      <c r="D481" t="s">
        <v>196</v>
      </c>
      <c r="E481" t="s">
        <v>345</v>
      </c>
      <c r="F481" t="e">
        <f t="shared" ca="1" si="8"/>
        <v>#NAME?</v>
      </c>
      <c r="G481" t="s">
        <v>684</v>
      </c>
      <c r="H481" t="s">
        <v>682</v>
      </c>
      <c r="I481">
        <v>800</v>
      </c>
      <c r="J481" t="s">
        <v>932</v>
      </c>
      <c r="Q481" t="s">
        <v>1041</v>
      </c>
      <c r="R481" t="s">
        <v>1122</v>
      </c>
    </row>
    <row r="482" spans="1:18" x14ac:dyDescent="0.25">
      <c r="A482" t="s">
        <v>102</v>
      </c>
      <c r="B482" t="s">
        <v>195</v>
      </c>
      <c r="C482" t="s">
        <v>297</v>
      </c>
      <c r="D482" t="s">
        <v>139</v>
      </c>
      <c r="E482" t="s">
        <v>341</v>
      </c>
      <c r="F482" t="e">
        <f t="shared" ca="1" si="8"/>
        <v>#NAME?</v>
      </c>
      <c r="G482" t="s">
        <v>656</v>
      </c>
      <c r="H482" t="s">
        <v>839</v>
      </c>
      <c r="I482">
        <v>511</v>
      </c>
      <c r="J482" t="s">
        <v>932</v>
      </c>
      <c r="Q482" t="s">
        <v>1104</v>
      </c>
      <c r="R482" t="s">
        <v>1167</v>
      </c>
    </row>
    <row r="483" spans="1:18" x14ac:dyDescent="0.25">
      <c r="A483" t="s">
        <v>102</v>
      </c>
      <c r="B483" t="s">
        <v>195</v>
      </c>
      <c r="C483" t="s">
        <v>233</v>
      </c>
      <c r="D483" t="s">
        <v>159</v>
      </c>
      <c r="E483" t="s">
        <v>373</v>
      </c>
      <c r="F483" t="e">
        <f t="shared" ca="1" si="8"/>
        <v>#NAME?</v>
      </c>
      <c r="G483" t="s">
        <v>598</v>
      </c>
      <c r="H483" t="s">
        <v>656</v>
      </c>
      <c r="I483">
        <v>352</v>
      </c>
      <c r="J483" t="s">
        <v>932</v>
      </c>
      <c r="K483" s="1">
        <v>45092</v>
      </c>
      <c r="L483" s="1">
        <v>45177</v>
      </c>
      <c r="O483" t="s">
        <v>964</v>
      </c>
      <c r="Q483" t="s">
        <v>974</v>
      </c>
      <c r="R483" t="s">
        <v>1104</v>
      </c>
    </row>
    <row r="484" spans="1:18" x14ac:dyDescent="0.25">
      <c r="A484" t="s">
        <v>102</v>
      </c>
      <c r="B484" t="s">
        <v>195</v>
      </c>
      <c r="C484" t="s">
        <v>222</v>
      </c>
      <c r="D484" t="s">
        <v>160</v>
      </c>
      <c r="E484" t="s">
        <v>341</v>
      </c>
      <c r="F484" t="e">
        <f t="shared" ca="1" si="8"/>
        <v>#NAME?</v>
      </c>
      <c r="G484" t="s">
        <v>660</v>
      </c>
      <c r="H484" t="s">
        <v>895</v>
      </c>
      <c r="I484">
        <v>327</v>
      </c>
      <c r="J484" t="s">
        <v>932</v>
      </c>
      <c r="Q484" t="s">
        <v>1011</v>
      </c>
      <c r="R484" t="s">
        <v>1052</v>
      </c>
    </row>
    <row r="485" spans="1:18" x14ac:dyDescent="0.25">
      <c r="A485" t="s">
        <v>102</v>
      </c>
      <c r="B485" t="s">
        <v>195</v>
      </c>
      <c r="C485" t="s">
        <v>222</v>
      </c>
      <c r="D485" t="s">
        <v>160</v>
      </c>
      <c r="E485" t="s">
        <v>341</v>
      </c>
      <c r="F485" t="e">
        <f t="shared" ca="1" si="8"/>
        <v>#NAME?</v>
      </c>
      <c r="G485" t="s">
        <v>685</v>
      </c>
      <c r="H485" t="s">
        <v>676</v>
      </c>
      <c r="I485">
        <v>329</v>
      </c>
      <c r="J485" t="s">
        <v>932</v>
      </c>
      <c r="Q485" t="s">
        <v>1021</v>
      </c>
      <c r="R485" t="s">
        <v>1116</v>
      </c>
    </row>
    <row r="486" spans="1:18" x14ac:dyDescent="0.25">
      <c r="A486" t="s">
        <v>102</v>
      </c>
      <c r="B486" t="s">
        <v>195</v>
      </c>
      <c r="C486" t="s">
        <v>222</v>
      </c>
      <c r="D486" t="s">
        <v>160</v>
      </c>
      <c r="E486" t="s">
        <v>341</v>
      </c>
      <c r="F486" t="e">
        <f t="shared" ca="1" si="8"/>
        <v>#NAME?</v>
      </c>
      <c r="G486" t="s">
        <v>614</v>
      </c>
      <c r="H486" t="s">
        <v>624</v>
      </c>
      <c r="I486">
        <v>331</v>
      </c>
      <c r="J486" t="s">
        <v>932</v>
      </c>
      <c r="Q486" t="s">
        <v>987</v>
      </c>
      <c r="R486" t="s">
        <v>1086</v>
      </c>
    </row>
    <row r="487" spans="1:18" x14ac:dyDescent="0.25">
      <c r="A487" t="s">
        <v>102</v>
      </c>
      <c r="B487" t="s">
        <v>195</v>
      </c>
      <c r="C487" t="s">
        <v>222</v>
      </c>
      <c r="D487" t="s">
        <v>160</v>
      </c>
      <c r="E487" t="s">
        <v>341</v>
      </c>
      <c r="F487" t="e">
        <f t="shared" ca="1" si="8"/>
        <v>#NAME?</v>
      </c>
      <c r="G487" t="s">
        <v>605</v>
      </c>
      <c r="H487" t="s">
        <v>911</v>
      </c>
      <c r="I487">
        <v>333</v>
      </c>
      <c r="J487" t="s">
        <v>932</v>
      </c>
      <c r="Q487" t="s">
        <v>990</v>
      </c>
      <c r="R487" t="s">
        <v>1138</v>
      </c>
    </row>
    <row r="488" spans="1:18" x14ac:dyDescent="0.25">
      <c r="A488" t="s">
        <v>102</v>
      </c>
      <c r="B488" t="s">
        <v>195</v>
      </c>
      <c r="C488" t="s">
        <v>222</v>
      </c>
      <c r="D488" t="s">
        <v>160</v>
      </c>
      <c r="E488" t="s">
        <v>341</v>
      </c>
      <c r="F488" t="e">
        <f t="shared" ca="1" si="8"/>
        <v>#NAME?</v>
      </c>
      <c r="G488" t="s">
        <v>686</v>
      </c>
      <c r="H488" t="s">
        <v>698</v>
      </c>
      <c r="I488">
        <v>463</v>
      </c>
      <c r="J488" t="s">
        <v>932</v>
      </c>
      <c r="Q488" t="s">
        <v>1053</v>
      </c>
      <c r="R488" t="s">
        <v>1130</v>
      </c>
    </row>
    <row r="489" spans="1:18" x14ac:dyDescent="0.25">
      <c r="A489" t="s">
        <v>102</v>
      </c>
      <c r="B489" t="s">
        <v>195</v>
      </c>
      <c r="C489" t="s">
        <v>222</v>
      </c>
      <c r="D489" t="s">
        <v>160</v>
      </c>
      <c r="E489" t="s">
        <v>341</v>
      </c>
      <c r="F489" t="e">
        <f t="shared" ca="1" si="8"/>
        <v>#NAME?</v>
      </c>
      <c r="G489" t="s">
        <v>592</v>
      </c>
      <c r="H489" t="s">
        <v>914</v>
      </c>
      <c r="I489">
        <v>337</v>
      </c>
      <c r="J489" t="s">
        <v>932</v>
      </c>
      <c r="Q489" t="s">
        <v>1050</v>
      </c>
      <c r="R489" t="s">
        <v>1165</v>
      </c>
    </row>
    <row r="490" spans="1:18" x14ac:dyDescent="0.25">
      <c r="A490" t="s">
        <v>102</v>
      </c>
      <c r="B490" t="s">
        <v>195</v>
      </c>
      <c r="C490" t="s">
        <v>222</v>
      </c>
      <c r="D490" t="s">
        <v>160</v>
      </c>
      <c r="E490" t="s">
        <v>341</v>
      </c>
      <c r="F490" t="e">
        <f t="shared" ca="1" si="8"/>
        <v>#NAME?</v>
      </c>
      <c r="G490" t="s">
        <v>626</v>
      </c>
      <c r="H490" t="s">
        <v>581</v>
      </c>
      <c r="I490">
        <v>339</v>
      </c>
      <c r="J490" t="s">
        <v>932</v>
      </c>
      <c r="Q490" t="s">
        <v>1008</v>
      </c>
      <c r="R490" t="s">
        <v>1054</v>
      </c>
    </row>
    <row r="491" spans="1:18" x14ac:dyDescent="0.25">
      <c r="A491" t="s">
        <v>102</v>
      </c>
      <c r="B491" t="s">
        <v>195</v>
      </c>
      <c r="C491" t="s">
        <v>222</v>
      </c>
      <c r="D491" t="s">
        <v>160</v>
      </c>
      <c r="E491" t="s">
        <v>341</v>
      </c>
      <c r="F491" t="e">
        <f t="shared" ca="1" si="8"/>
        <v>#NAME?</v>
      </c>
      <c r="G491" t="s">
        <v>687</v>
      </c>
      <c r="H491" t="s">
        <v>855</v>
      </c>
      <c r="I491">
        <v>341</v>
      </c>
      <c r="J491" t="s">
        <v>932</v>
      </c>
      <c r="Q491" t="s">
        <v>971</v>
      </c>
      <c r="R491" t="s">
        <v>1025</v>
      </c>
    </row>
    <row r="492" spans="1:18" x14ac:dyDescent="0.25">
      <c r="A492" t="s">
        <v>102</v>
      </c>
      <c r="B492" t="s">
        <v>195</v>
      </c>
      <c r="C492" t="s">
        <v>222</v>
      </c>
      <c r="D492" t="s">
        <v>160</v>
      </c>
      <c r="E492" t="s">
        <v>341</v>
      </c>
      <c r="F492" t="e">
        <f t="shared" ca="1" si="8"/>
        <v>#NAME?</v>
      </c>
      <c r="G492" t="s">
        <v>665</v>
      </c>
      <c r="H492" t="s">
        <v>678</v>
      </c>
      <c r="I492">
        <v>343</v>
      </c>
      <c r="J492" t="s">
        <v>932</v>
      </c>
      <c r="Q492" t="s">
        <v>1055</v>
      </c>
      <c r="R492" t="s">
        <v>1118</v>
      </c>
    </row>
    <row r="493" spans="1:18" x14ac:dyDescent="0.25">
      <c r="A493" t="s">
        <v>102</v>
      </c>
      <c r="B493" t="s">
        <v>195</v>
      </c>
      <c r="C493" t="s">
        <v>222</v>
      </c>
      <c r="D493" t="s">
        <v>160</v>
      </c>
      <c r="E493" t="s">
        <v>341</v>
      </c>
      <c r="F493" t="e">
        <f t="shared" ca="1" si="8"/>
        <v>#NAME?</v>
      </c>
      <c r="G493" t="s">
        <v>602</v>
      </c>
      <c r="H493" t="s">
        <v>680</v>
      </c>
      <c r="I493">
        <v>345</v>
      </c>
      <c r="J493" t="s">
        <v>932</v>
      </c>
      <c r="Q493" t="s">
        <v>1056</v>
      </c>
      <c r="R493" t="s">
        <v>1120</v>
      </c>
    </row>
    <row r="494" spans="1:18" x14ac:dyDescent="0.25">
      <c r="A494" t="s">
        <v>102</v>
      </c>
      <c r="B494" t="s">
        <v>195</v>
      </c>
      <c r="C494" t="s">
        <v>222</v>
      </c>
      <c r="D494" t="s">
        <v>160</v>
      </c>
      <c r="E494" t="s">
        <v>341</v>
      </c>
      <c r="F494" t="e">
        <f t="shared" ca="1" si="8"/>
        <v>#NAME?</v>
      </c>
      <c r="G494" t="s">
        <v>618</v>
      </c>
      <c r="H494" t="s">
        <v>672</v>
      </c>
      <c r="I494">
        <v>347</v>
      </c>
      <c r="J494" t="s">
        <v>932</v>
      </c>
      <c r="Q494" t="s">
        <v>1051</v>
      </c>
      <c r="R494" t="s">
        <v>975</v>
      </c>
    </row>
    <row r="495" spans="1:18" x14ac:dyDescent="0.25">
      <c r="A495" t="s">
        <v>102</v>
      </c>
      <c r="B495" t="s">
        <v>195</v>
      </c>
      <c r="C495" t="s">
        <v>222</v>
      </c>
      <c r="D495" t="s">
        <v>160</v>
      </c>
      <c r="E495" t="s">
        <v>341</v>
      </c>
      <c r="F495" t="e">
        <f t="shared" ca="1" si="8"/>
        <v>#NAME?</v>
      </c>
      <c r="G495" t="s">
        <v>620</v>
      </c>
      <c r="H495" t="s">
        <v>628</v>
      </c>
      <c r="I495">
        <v>349</v>
      </c>
      <c r="J495" t="s">
        <v>932</v>
      </c>
      <c r="Q495" t="s">
        <v>983</v>
      </c>
      <c r="R495" t="s">
        <v>1034</v>
      </c>
    </row>
    <row r="496" spans="1:18" x14ac:dyDescent="0.25">
      <c r="A496" t="s">
        <v>102</v>
      </c>
      <c r="B496" t="s">
        <v>195</v>
      </c>
      <c r="C496" t="s">
        <v>222</v>
      </c>
      <c r="D496" t="s">
        <v>160</v>
      </c>
      <c r="E496" t="s">
        <v>341</v>
      </c>
      <c r="F496" t="e">
        <f t="shared" ca="1" si="8"/>
        <v>#NAME?</v>
      </c>
      <c r="G496" t="s">
        <v>688</v>
      </c>
      <c r="H496" t="s">
        <v>621</v>
      </c>
      <c r="I496">
        <v>351</v>
      </c>
      <c r="J496" t="s">
        <v>932</v>
      </c>
      <c r="Q496" t="s">
        <v>1057</v>
      </c>
      <c r="R496" t="s">
        <v>1083</v>
      </c>
    </row>
    <row r="497" spans="1:18" x14ac:dyDescent="0.25">
      <c r="A497" t="s">
        <v>102</v>
      </c>
      <c r="B497" t="s">
        <v>195</v>
      </c>
      <c r="C497" t="s">
        <v>222</v>
      </c>
      <c r="D497" t="s">
        <v>160</v>
      </c>
      <c r="E497" t="s">
        <v>341</v>
      </c>
      <c r="F497" t="e">
        <f t="shared" ca="1" si="8"/>
        <v>#NAME?</v>
      </c>
      <c r="G497" t="s">
        <v>589</v>
      </c>
      <c r="H497" t="s">
        <v>608</v>
      </c>
      <c r="I497">
        <v>353</v>
      </c>
      <c r="J497" t="s">
        <v>932</v>
      </c>
      <c r="Q497" t="s">
        <v>973</v>
      </c>
      <c r="R497" t="s">
        <v>1036</v>
      </c>
    </row>
    <row r="498" spans="1:18" x14ac:dyDescent="0.25">
      <c r="A498" t="s">
        <v>102</v>
      </c>
      <c r="B498" t="s">
        <v>195</v>
      </c>
      <c r="C498" t="s">
        <v>227</v>
      </c>
      <c r="D498" t="s">
        <v>168</v>
      </c>
      <c r="E498" t="s">
        <v>341</v>
      </c>
      <c r="F498" t="e">
        <f t="shared" ca="1" si="8"/>
        <v>#NAME?</v>
      </c>
      <c r="G498" t="s">
        <v>689</v>
      </c>
      <c r="H498" t="s">
        <v>915</v>
      </c>
      <c r="I498">
        <v>518</v>
      </c>
      <c r="J498" t="s">
        <v>932</v>
      </c>
      <c r="Q498" t="s">
        <v>1123</v>
      </c>
      <c r="R498" t="s">
        <v>1209</v>
      </c>
    </row>
    <row r="499" spans="1:18" x14ac:dyDescent="0.25">
      <c r="A499" t="s">
        <v>102</v>
      </c>
      <c r="B499" t="s">
        <v>195</v>
      </c>
      <c r="C499" t="s">
        <v>311</v>
      </c>
      <c r="D499" t="s">
        <v>198</v>
      </c>
      <c r="E499" t="s">
        <v>341</v>
      </c>
      <c r="F499" t="e">
        <f t="shared" ca="1" si="8"/>
        <v>#NAME?</v>
      </c>
      <c r="G499" t="s">
        <v>690</v>
      </c>
      <c r="H499" t="s">
        <v>630</v>
      </c>
      <c r="I499">
        <v>106</v>
      </c>
      <c r="J499" t="s">
        <v>932</v>
      </c>
      <c r="Q499" t="s">
        <v>1024</v>
      </c>
      <c r="R499" t="s">
        <v>1010</v>
      </c>
    </row>
    <row r="500" spans="1:18" x14ac:dyDescent="0.25">
      <c r="A500" t="s">
        <v>103</v>
      </c>
      <c r="B500" t="s">
        <v>196</v>
      </c>
      <c r="C500" t="s">
        <v>312</v>
      </c>
      <c r="D500" t="s">
        <v>118</v>
      </c>
      <c r="E500" t="s">
        <v>362</v>
      </c>
      <c r="F500" t="e">
        <f t="shared" ca="1" si="8"/>
        <v>#NAME?</v>
      </c>
      <c r="G500" t="s">
        <v>594</v>
      </c>
      <c r="H500" t="s">
        <v>621</v>
      </c>
      <c r="I500">
        <v>17</v>
      </c>
      <c r="J500" t="s">
        <v>932</v>
      </c>
      <c r="Q500" t="s">
        <v>982</v>
      </c>
      <c r="R500" t="s">
        <v>1083</v>
      </c>
    </row>
    <row r="501" spans="1:18" x14ac:dyDescent="0.25">
      <c r="A501" t="s">
        <v>103</v>
      </c>
      <c r="B501" t="s">
        <v>196</v>
      </c>
      <c r="C501" t="s">
        <v>306</v>
      </c>
      <c r="D501" t="s">
        <v>146</v>
      </c>
      <c r="E501" t="s">
        <v>341</v>
      </c>
      <c r="F501" t="e">
        <f t="shared" ca="1" si="8"/>
        <v>#NAME?</v>
      </c>
      <c r="G501" t="s">
        <v>583</v>
      </c>
      <c r="H501" t="s">
        <v>849</v>
      </c>
      <c r="I501">
        <v>21</v>
      </c>
      <c r="J501" t="s">
        <v>932</v>
      </c>
      <c r="Q501" t="s">
        <v>1061</v>
      </c>
      <c r="R501" t="s">
        <v>1171</v>
      </c>
    </row>
    <row r="502" spans="1:18" x14ac:dyDescent="0.25">
      <c r="A502" t="s">
        <v>103</v>
      </c>
      <c r="B502" t="s">
        <v>196</v>
      </c>
      <c r="C502" t="s">
        <v>251</v>
      </c>
      <c r="D502" t="s">
        <v>147</v>
      </c>
      <c r="E502" t="s">
        <v>341</v>
      </c>
      <c r="F502" t="e">
        <f t="shared" ca="1" si="8"/>
        <v>#NAME?</v>
      </c>
      <c r="G502" t="s">
        <v>598</v>
      </c>
      <c r="H502" t="s">
        <v>614</v>
      </c>
      <c r="I502">
        <v>830</v>
      </c>
      <c r="J502" t="s">
        <v>932</v>
      </c>
      <c r="Q502" t="s">
        <v>974</v>
      </c>
      <c r="R502" t="s">
        <v>987</v>
      </c>
    </row>
    <row r="503" spans="1:18" x14ac:dyDescent="0.25">
      <c r="A503" t="s">
        <v>103</v>
      </c>
      <c r="B503" t="s">
        <v>196</v>
      </c>
      <c r="C503" t="s">
        <v>238</v>
      </c>
      <c r="D503" t="s">
        <v>155</v>
      </c>
      <c r="E503" t="s">
        <v>341</v>
      </c>
      <c r="F503" t="e">
        <f t="shared" ca="1" si="8"/>
        <v>#NAME?</v>
      </c>
      <c r="G503" t="s">
        <v>690</v>
      </c>
      <c r="H503" t="s">
        <v>592</v>
      </c>
      <c r="I503">
        <v>22</v>
      </c>
      <c r="J503" t="s">
        <v>932</v>
      </c>
      <c r="Q503" t="s">
        <v>1024</v>
      </c>
      <c r="R503" t="s">
        <v>1050</v>
      </c>
    </row>
    <row r="504" spans="1:18" x14ac:dyDescent="0.25">
      <c r="A504" t="s">
        <v>103</v>
      </c>
      <c r="B504" t="s">
        <v>196</v>
      </c>
      <c r="C504" t="s">
        <v>313</v>
      </c>
      <c r="D504" t="s">
        <v>156</v>
      </c>
      <c r="E504" t="s">
        <v>403</v>
      </c>
      <c r="F504" t="e">
        <f t="shared" ca="1" si="8"/>
        <v>#NAME?</v>
      </c>
      <c r="G504" t="s">
        <v>583</v>
      </c>
      <c r="H504" t="s">
        <v>603</v>
      </c>
      <c r="I504">
        <v>11</v>
      </c>
      <c r="J504" t="s">
        <v>932</v>
      </c>
      <c r="Q504" t="s">
        <v>1061</v>
      </c>
      <c r="R504" t="s">
        <v>1072</v>
      </c>
    </row>
    <row r="505" spans="1:18" x14ac:dyDescent="0.25">
      <c r="A505" t="s">
        <v>103</v>
      </c>
      <c r="B505" t="s">
        <v>196</v>
      </c>
      <c r="C505" t="s">
        <v>227</v>
      </c>
      <c r="D505" t="s">
        <v>168</v>
      </c>
      <c r="E505" t="s">
        <v>364</v>
      </c>
      <c r="F505" t="e">
        <f t="shared" ca="1" si="8"/>
        <v>#NAME?</v>
      </c>
      <c r="G505" t="s">
        <v>602</v>
      </c>
      <c r="H505" t="s">
        <v>634</v>
      </c>
      <c r="I505" t="s">
        <v>931</v>
      </c>
      <c r="J505" t="s">
        <v>932</v>
      </c>
      <c r="K505" s="1">
        <v>45092</v>
      </c>
      <c r="L505" s="1">
        <v>45177</v>
      </c>
      <c r="O505" t="s">
        <v>965</v>
      </c>
      <c r="Q505" t="s">
        <v>1056</v>
      </c>
      <c r="R505" t="s">
        <v>1092</v>
      </c>
    </row>
    <row r="506" spans="1:18" x14ac:dyDescent="0.25">
      <c r="A506" t="s">
        <v>103</v>
      </c>
      <c r="B506" t="s">
        <v>196</v>
      </c>
      <c r="C506" t="s">
        <v>227</v>
      </c>
      <c r="D506" t="s">
        <v>168</v>
      </c>
      <c r="E506" t="s">
        <v>341</v>
      </c>
      <c r="F506" t="e">
        <f t="shared" ca="1" si="8"/>
        <v>#NAME?</v>
      </c>
      <c r="G506" t="s">
        <v>609</v>
      </c>
      <c r="H506" t="s">
        <v>620</v>
      </c>
      <c r="I506">
        <v>800</v>
      </c>
      <c r="J506" t="s">
        <v>932</v>
      </c>
      <c r="Q506" t="s">
        <v>1003</v>
      </c>
      <c r="R506" t="s">
        <v>983</v>
      </c>
    </row>
    <row r="507" spans="1:18" x14ac:dyDescent="0.25">
      <c r="A507" t="s">
        <v>103</v>
      </c>
      <c r="B507" t="s">
        <v>196</v>
      </c>
      <c r="C507" t="s">
        <v>239</v>
      </c>
      <c r="D507" t="s">
        <v>173</v>
      </c>
      <c r="E507" t="s">
        <v>367</v>
      </c>
      <c r="F507" t="e">
        <f t="shared" ca="1" si="8"/>
        <v>#NAME?</v>
      </c>
      <c r="G507" t="s">
        <v>583</v>
      </c>
      <c r="H507" t="s">
        <v>588</v>
      </c>
      <c r="I507">
        <v>831</v>
      </c>
      <c r="J507" t="s">
        <v>932</v>
      </c>
      <c r="O507" t="s">
        <v>944</v>
      </c>
      <c r="Q507" t="s">
        <v>1061</v>
      </c>
      <c r="R507" t="s">
        <v>1066</v>
      </c>
    </row>
    <row r="508" spans="1:18" x14ac:dyDescent="0.25">
      <c r="A508" t="s">
        <v>103</v>
      </c>
      <c r="B508" t="s">
        <v>196</v>
      </c>
      <c r="C508" t="s">
        <v>239</v>
      </c>
      <c r="D508" t="s">
        <v>173</v>
      </c>
      <c r="E508" t="s">
        <v>404</v>
      </c>
      <c r="F508" t="e">
        <f t="shared" ca="1" si="8"/>
        <v>#NAME?</v>
      </c>
      <c r="G508" t="s">
        <v>680</v>
      </c>
      <c r="H508" t="s">
        <v>620</v>
      </c>
      <c r="I508">
        <v>831</v>
      </c>
      <c r="J508" t="s">
        <v>932</v>
      </c>
      <c r="O508" t="s">
        <v>944</v>
      </c>
      <c r="Q508" t="s">
        <v>1120</v>
      </c>
      <c r="R508" t="s">
        <v>983</v>
      </c>
    </row>
    <row r="509" spans="1:18" x14ac:dyDescent="0.25">
      <c r="A509" t="s">
        <v>103</v>
      </c>
      <c r="B509" t="s">
        <v>196</v>
      </c>
      <c r="C509" t="s">
        <v>239</v>
      </c>
      <c r="D509" t="s">
        <v>173</v>
      </c>
      <c r="E509" t="s">
        <v>349</v>
      </c>
      <c r="F509" t="e">
        <f t="shared" ca="1" si="8"/>
        <v>#NAME?</v>
      </c>
      <c r="G509" t="s">
        <v>618</v>
      </c>
      <c r="H509" t="s">
        <v>690</v>
      </c>
      <c r="I509">
        <v>801</v>
      </c>
      <c r="J509" t="s">
        <v>932</v>
      </c>
      <c r="O509" t="s">
        <v>944</v>
      </c>
      <c r="Q509" t="s">
        <v>1051</v>
      </c>
      <c r="R509" t="s">
        <v>1024</v>
      </c>
    </row>
    <row r="510" spans="1:18" x14ac:dyDescent="0.25">
      <c r="A510" t="s">
        <v>103</v>
      </c>
      <c r="B510" t="s">
        <v>196</v>
      </c>
      <c r="C510" t="s">
        <v>239</v>
      </c>
      <c r="D510" t="s">
        <v>173</v>
      </c>
      <c r="E510" t="s">
        <v>346</v>
      </c>
      <c r="F510" t="e">
        <f t="shared" ca="1" si="8"/>
        <v>#NAME?</v>
      </c>
      <c r="G510" t="s">
        <v>620</v>
      </c>
      <c r="H510" t="s">
        <v>844</v>
      </c>
      <c r="I510">
        <v>831</v>
      </c>
      <c r="J510" t="s">
        <v>932</v>
      </c>
      <c r="Q510" t="s">
        <v>983</v>
      </c>
      <c r="R510" t="s">
        <v>1019</v>
      </c>
    </row>
    <row r="511" spans="1:18" x14ac:dyDescent="0.25">
      <c r="A511" t="s">
        <v>103</v>
      </c>
      <c r="B511" t="s">
        <v>196</v>
      </c>
      <c r="C511" t="s">
        <v>224</v>
      </c>
      <c r="D511" t="s">
        <v>186</v>
      </c>
      <c r="E511" t="s">
        <v>341</v>
      </c>
      <c r="F511" t="e">
        <f t="shared" ca="1" si="8"/>
        <v>#NAME?</v>
      </c>
      <c r="G511" t="s">
        <v>612</v>
      </c>
      <c r="H511" t="s">
        <v>686</v>
      </c>
      <c r="I511">
        <v>12</v>
      </c>
      <c r="J511" t="s">
        <v>932</v>
      </c>
      <c r="Q511" t="s">
        <v>1077</v>
      </c>
      <c r="R511" t="s">
        <v>1053</v>
      </c>
    </row>
    <row r="512" spans="1:18" x14ac:dyDescent="0.25">
      <c r="A512" t="s">
        <v>103</v>
      </c>
      <c r="B512" t="s">
        <v>196</v>
      </c>
      <c r="C512" t="s">
        <v>298</v>
      </c>
      <c r="D512" t="s">
        <v>188</v>
      </c>
      <c r="E512" t="s">
        <v>396</v>
      </c>
      <c r="F512" t="e">
        <f t="shared" ca="1" si="8"/>
        <v>#NAME?</v>
      </c>
      <c r="G512" t="s">
        <v>583</v>
      </c>
      <c r="H512" t="s">
        <v>597</v>
      </c>
      <c r="I512">
        <v>11</v>
      </c>
      <c r="J512" t="s">
        <v>932</v>
      </c>
      <c r="Q512" t="s">
        <v>1061</v>
      </c>
      <c r="R512" t="s">
        <v>1070</v>
      </c>
    </row>
    <row r="513" spans="1:18" x14ac:dyDescent="0.25">
      <c r="A513" t="s">
        <v>103</v>
      </c>
      <c r="B513" t="s">
        <v>196</v>
      </c>
      <c r="C513" t="s">
        <v>298</v>
      </c>
      <c r="D513" t="s">
        <v>188</v>
      </c>
      <c r="E513" t="s">
        <v>405</v>
      </c>
      <c r="F513" t="e">
        <f t="shared" ca="1" si="8"/>
        <v>#NAME?</v>
      </c>
      <c r="G513" t="s">
        <v>594</v>
      </c>
      <c r="H513" t="s">
        <v>600</v>
      </c>
      <c r="I513">
        <v>15</v>
      </c>
      <c r="J513" t="s">
        <v>932</v>
      </c>
      <c r="O513" t="s">
        <v>966</v>
      </c>
      <c r="Q513" t="s">
        <v>982</v>
      </c>
      <c r="R513" t="s">
        <v>1071</v>
      </c>
    </row>
    <row r="514" spans="1:18" x14ac:dyDescent="0.25">
      <c r="A514" t="s">
        <v>103</v>
      </c>
      <c r="B514" t="s">
        <v>196</v>
      </c>
      <c r="C514" t="s">
        <v>314</v>
      </c>
      <c r="D514" t="s">
        <v>189</v>
      </c>
      <c r="E514" t="s">
        <v>370</v>
      </c>
      <c r="F514" t="e">
        <f t="shared" ca="1" si="8"/>
        <v>#NAME?</v>
      </c>
      <c r="G514" t="s">
        <v>594</v>
      </c>
      <c r="H514" t="s">
        <v>628</v>
      </c>
      <c r="I514">
        <v>17</v>
      </c>
      <c r="J514" t="s">
        <v>932</v>
      </c>
      <c r="Q514" t="s">
        <v>982</v>
      </c>
      <c r="R514" t="s">
        <v>1034</v>
      </c>
    </row>
    <row r="515" spans="1:18" x14ac:dyDescent="0.25">
      <c r="A515" t="s">
        <v>103</v>
      </c>
      <c r="B515" t="s">
        <v>196</v>
      </c>
      <c r="C515" t="s">
        <v>315</v>
      </c>
      <c r="D515" t="s">
        <v>194</v>
      </c>
      <c r="E515" t="s">
        <v>358</v>
      </c>
      <c r="F515" t="e">
        <f t="shared" ref="F515:F545" ca="1" si="9">ConvertToOAG(E515)</f>
        <v>#NAME?</v>
      </c>
      <c r="G515" t="s">
        <v>594</v>
      </c>
      <c r="H515" t="s">
        <v>628</v>
      </c>
      <c r="I515">
        <v>801</v>
      </c>
      <c r="J515" t="s">
        <v>932</v>
      </c>
      <c r="Q515" t="s">
        <v>982</v>
      </c>
      <c r="R515" t="s">
        <v>1034</v>
      </c>
    </row>
    <row r="516" spans="1:18" x14ac:dyDescent="0.25">
      <c r="A516" t="s">
        <v>104</v>
      </c>
      <c r="B516" t="s">
        <v>197</v>
      </c>
      <c r="C516" t="s">
        <v>227</v>
      </c>
      <c r="D516" t="s">
        <v>168</v>
      </c>
      <c r="E516" t="s">
        <v>349</v>
      </c>
      <c r="F516" t="e">
        <f t="shared" ca="1" si="9"/>
        <v>#NAME?</v>
      </c>
      <c r="G516" t="s">
        <v>598</v>
      </c>
      <c r="H516" t="s">
        <v>916</v>
      </c>
      <c r="I516">
        <v>957</v>
      </c>
      <c r="J516" t="s">
        <v>932</v>
      </c>
      <c r="Q516" t="s">
        <v>974</v>
      </c>
      <c r="R516" t="s">
        <v>1148</v>
      </c>
    </row>
    <row r="517" spans="1:18" x14ac:dyDescent="0.25">
      <c r="A517" t="s">
        <v>105</v>
      </c>
      <c r="B517" t="s">
        <v>198</v>
      </c>
      <c r="C517" t="s">
        <v>316</v>
      </c>
      <c r="D517" t="s">
        <v>127</v>
      </c>
      <c r="E517" t="s">
        <v>341</v>
      </c>
      <c r="F517" t="e">
        <f t="shared" ca="1" si="9"/>
        <v>#NAME?</v>
      </c>
      <c r="G517" t="s">
        <v>603</v>
      </c>
      <c r="H517" t="s">
        <v>879</v>
      </c>
      <c r="I517">
        <v>551</v>
      </c>
      <c r="J517" t="s">
        <v>932</v>
      </c>
      <c r="Q517" t="s">
        <v>1072</v>
      </c>
      <c r="R517" t="s">
        <v>1188</v>
      </c>
    </row>
    <row r="518" spans="1:18" x14ac:dyDescent="0.25">
      <c r="A518" t="s">
        <v>106</v>
      </c>
      <c r="B518" t="s">
        <v>198</v>
      </c>
      <c r="C518" t="s">
        <v>317</v>
      </c>
      <c r="D518" t="s">
        <v>154</v>
      </c>
      <c r="E518" t="s">
        <v>341</v>
      </c>
      <c r="F518" t="e">
        <f t="shared" ca="1" si="9"/>
        <v>#NAME?</v>
      </c>
      <c r="G518" t="s">
        <v>598</v>
      </c>
      <c r="H518" t="s">
        <v>917</v>
      </c>
      <c r="I518">
        <v>106</v>
      </c>
      <c r="J518" t="s">
        <v>932</v>
      </c>
      <c r="Q518" t="s">
        <v>974</v>
      </c>
      <c r="R518" t="s">
        <v>1017</v>
      </c>
    </row>
    <row r="519" spans="1:18" x14ac:dyDescent="0.25">
      <c r="A519" t="s">
        <v>107</v>
      </c>
      <c r="B519" t="s">
        <v>199</v>
      </c>
      <c r="C519" t="s">
        <v>227</v>
      </c>
      <c r="D519" t="s">
        <v>168</v>
      </c>
      <c r="E519" t="s">
        <v>341</v>
      </c>
      <c r="F519" t="e">
        <f t="shared" ca="1" si="9"/>
        <v>#NAME?</v>
      </c>
      <c r="G519" t="s">
        <v>679</v>
      </c>
      <c r="H519" t="s">
        <v>892</v>
      </c>
      <c r="I519">
        <v>100</v>
      </c>
      <c r="J519" t="s">
        <v>932</v>
      </c>
      <c r="Q519" t="s">
        <v>1119</v>
      </c>
      <c r="R519" t="s">
        <v>1198</v>
      </c>
    </row>
    <row r="520" spans="1:18" x14ac:dyDescent="0.25">
      <c r="A520" t="s">
        <v>107</v>
      </c>
      <c r="B520" t="s">
        <v>199</v>
      </c>
      <c r="C520" t="s">
        <v>227</v>
      </c>
      <c r="D520" t="s">
        <v>168</v>
      </c>
      <c r="E520" t="s">
        <v>341</v>
      </c>
      <c r="F520" t="e">
        <f t="shared" ca="1" si="9"/>
        <v>#NAME?</v>
      </c>
      <c r="G520" t="s">
        <v>670</v>
      </c>
      <c r="H520" t="s">
        <v>586</v>
      </c>
      <c r="I520">
        <v>801</v>
      </c>
      <c r="J520" t="s">
        <v>932</v>
      </c>
      <c r="Q520" t="s">
        <v>1111</v>
      </c>
      <c r="R520" t="s">
        <v>1064</v>
      </c>
    </row>
    <row r="521" spans="1:18" x14ac:dyDescent="0.25">
      <c r="A521" t="s">
        <v>107</v>
      </c>
      <c r="B521" t="s">
        <v>199</v>
      </c>
      <c r="C521" t="s">
        <v>227</v>
      </c>
      <c r="D521" t="s">
        <v>168</v>
      </c>
      <c r="E521" t="s">
        <v>341</v>
      </c>
      <c r="F521" t="e">
        <f t="shared" ca="1" si="9"/>
        <v>#NAME?</v>
      </c>
      <c r="G521" t="s">
        <v>668</v>
      </c>
      <c r="H521" t="s">
        <v>671</v>
      </c>
      <c r="I521">
        <v>217</v>
      </c>
      <c r="J521" t="s">
        <v>932</v>
      </c>
      <c r="Q521" t="s">
        <v>1028</v>
      </c>
      <c r="R521" t="s">
        <v>1112</v>
      </c>
    </row>
    <row r="522" spans="1:18" x14ac:dyDescent="0.25">
      <c r="A522" t="s">
        <v>105</v>
      </c>
      <c r="B522" t="s">
        <v>198</v>
      </c>
      <c r="C522" t="s">
        <v>227</v>
      </c>
      <c r="D522" t="s">
        <v>168</v>
      </c>
      <c r="E522" t="s">
        <v>341</v>
      </c>
      <c r="F522" t="e">
        <f t="shared" ca="1" si="9"/>
        <v>#NAME?</v>
      </c>
      <c r="G522" t="s">
        <v>691</v>
      </c>
      <c r="H522" t="s">
        <v>848</v>
      </c>
      <c r="I522">
        <v>550</v>
      </c>
      <c r="J522" t="s">
        <v>932</v>
      </c>
      <c r="Q522" t="s">
        <v>1124</v>
      </c>
      <c r="R522" t="s">
        <v>1161</v>
      </c>
    </row>
    <row r="523" spans="1:18" x14ac:dyDescent="0.25">
      <c r="A523" t="s">
        <v>107</v>
      </c>
      <c r="B523" t="s">
        <v>199</v>
      </c>
      <c r="C523" t="s">
        <v>227</v>
      </c>
      <c r="D523" t="s">
        <v>168</v>
      </c>
      <c r="E523" t="s">
        <v>341</v>
      </c>
      <c r="F523" t="e">
        <f t="shared" ca="1" si="9"/>
        <v>#NAME?</v>
      </c>
      <c r="G523" t="s">
        <v>692</v>
      </c>
      <c r="H523" t="s">
        <v>629</v>
      </c>
      <c r="I523">
        <v>110</v>
      </c>
      <c r="J523" t="s">
        <v>932</v>
      </c>
      <c r="Q523" t="s">
        <v>1125</v>
      </c>
      <c r="R523" t="s">
        <v>1088</v>
      </c>
    </row>
    <row r="524" spans="1:18" x14ac:dyDescent="0.25">
      <c r="A524" t="s">
        <v>107</v>
      </c>
      <c r="B524" t="s">
        <v>199</v>
      </c>
      <c r="C524" t="s">
        <v>227</v>
      </c>
      <c r="D524" t="s">
        <v>168</v>
      </c>
      <c r="E524" t="s">
        <v>406</v>
      </c>
      <c r="F524" t="e">
        <f t="shared" ca="1" si="9"/>
        <v>#NAME?</v>
      </c>
      <c r="G524" t="s">
        <v>693</v>
      </c>
      <c r="H524" t="s">
        <v>609</v>
      </c>
      <c r="I524">
        <v>180</v>
      </c>
      <c r="J524" t="s">
        <v>932</v>
      </c>
      <c r="M524" s="1">
        <v>45080</v>
      </c>
      <c r="O524" t="s">
        <v>967</v>
      </c>
      <c r="Q524" t="s">
        <v>1009</v>
      </c>
      <c r="R524" t="s">
        <v>1003</v>
      </c>
    </row>
    <row r="525" spans="1:18" x14ac:dyDescent="0.25">
      <c r="A525" t="s">
        <v>107</v>
      </c>
      <c r="B525" t="s">
        <v>199</v>
      </c>
      <c r="C525" t="s">
        <v>227</v>
      </c>
      <c r="D525" t="s">
        <v>168</v>
      </c>
      <c r="E525" t="s">
        <v>395</v>
      </c>
      <c r="F525" t="e">
        <f t="shared" ca="1" si="9"/>
        <v>#NAME?</v>
      </c>
      <c r="G525" t="s">
        <v>693</v>
      </c>
      <c r="H525" t="s">
        <v>609</v>
      </c>
      <c r="I525">
        <v>180</v>
      </c>
      <c r="J525" t="s">
        <v>932</v>
      </c>
      <c r="L525" s="1">
        <v>45076</v>
      </c>
      <c r="O525" t="s">
        <v>968</v>
      </c>
      <c r="Q525" t="s">
        <v>1009</v>
      </c>
      <c r="R525" t="s">
        <v>1003</v>
      </c>
    </row>
    <row r="526" spans="1:18" x14ac:dyDescent="0.25">
      <c r="A526" t="s">
        <v>107</v>
      </c>
      <c r="B526" t="s">
        <v>199</v>
      </c>
      <c r="C526" t="s">
        <v>227</v>
      </c>
      <c r="D526" t="s">
        <v>168</v>
      </c>
      <c r="E526" t="s">
        <v>341</v>
      </c>
      <c r="F526" t="e">
        <f t="shared" ca="1" si="9"/>
        <v>#NAME?</v>
      </c>
      <c r="G526" t="s">
        <v>693</v>
      </c>
      <c r="H526" t="s">
        <v>609</v>
      </c>
      <c r="I526">
        <v>594</v>
      </c>
      <c r="J526" t="s">
        <v>932</v>
      </c>
      <c r="Q526" t="s">
        <v>1009</v>
      </c>
      <c r="R526" t="s">
        <v>1003</v>
      </c>
    </row>
    <row r="527" spans="1:18" x14ac:dyDescent="0.25">
      <c r="A527" t="s">
        <v>107</v>
      </c>
      <c r="B527" t="s">
        <v>199</v>
      </c>
      <c r="C527" t="s">
        <v>227</v>
      </c>
      <c r="D527" t="s">
        <v>168</v>
      </c>
      <c r="E527" t="s">
        <v>341</v>
      </c>
      <c r="F527" t="e">
        <f t="shared" ca="1" si="9"/>
        <v>#NAME?</v>
      </c>
      <c r="G527" t="s">
        <v>688</v>
      </c>
      <c r="H527" t="s">
        <v>683</v>
      </c>
      <c r="I527">
        <v>64</v>
      </c>
      <c r="J527" t="s">
        <v>932</v>
      </c>
      <c r="Q527" t="s">
        <v>1057</v>
      </c>
      <c r="R527" t="s">
        <v>1032</v>
      </c>
    </row>
    <row r="528" spans="1:18" x14ac:dyDescent="0.25">
      <c r="A528" t="s">
        <v>107</v>
      </c>
      <c r="B528" t="s">
        <v>199</v>
      </c>
      <c r="C528" t="s">
        <v>228</v>
      </c>
      <c r="D528" t="s">
        <v>172</v>
      </c>
      <c r="E528" t="s">
        <v>341</v>
      </c>
      <c r="F528" t="e">
        <f t="shared" ca="1" si="9"/>
        <v>#NAME?</v>
      </c>
      <c r="G528" t="s">
        <v>596</v>
      </c>
      <c r="H528" t="s">
        <v>918</v>
      </c>
      <c r="I528">
        <v>541</v>
      </c>
      <c r="J528" t="s">
        <v>932</v>
      </c>
      <c r="Q528" t="s">
        <v>1069</v>
      </c>
      <c r="R528" t="s">
        <v>1210</v>
      </c>
    </row>
    <row r="529" spans="1:18" x14ac:dyDescent="0.25">
      <c r="A529" t="s">
        <v>107</v>
      </c>
      <c r="B529" t="s">
        <v>199</v>
      </c>
      <c r="C529" t="s">
        <v>296</v>
      </c>
      <c r="D529" t="s">
        <v>200</v>
      </c>
      <c r="E529" t="s">
        <v>341</v>
      </c>
      <c r="F529" t="e">
        <f t="shared" ca="1" si="9"/>
        <v>#NAME?</v>
      </c>
      <c r="G529" t="s">
        <v>605</v>
      </c>
      <c r="H529" t="s">
        <v>919</v>
      </c>
      <c r="I529">
        <v>597</v>
      </c>
      <c r="J529" t="s">
        <v>932</v>
      </c>
      <c r="Q529" t="s">
        <v>990</v>
      </c>
      <c r="R529" t="s">
        <v>1211</v>
      </c>
    </row>
    <row r="530" spans="1:18" x14ac:dyDescent="0.25">
      <c r="A530" t="s">
        <v>108</v>
      </c>
      <c r="B530" t="s">
        <v>200</v>
      </c>
      <c r="C530" t="s">
        <v>318</v>
      </c>
      <c r="D530" t="s">
        <v>169</v>
      </c>
      <c r="E530" t="s">
        <v>341</v>
      </c>
      <c r="F530" t="e">
        <f t="shared" ca="1" si="9"/>
        <v>#NAME?</v>
      </c>
      <c r="G530" t="s">
        <v>605</v>
      </c>
      <c r="H530" t="s">
        <v>920</v>
      </c>
      <c r="I530">
        <v>272</v>
      </c>
      <c r="J530" t="s">
        <v>932</v>
      </c>
      <c r="Q530" t="s">
        <v>990</v>
      </c>
      <c r="R530" t="s">
        <v>1212</v>
      </c>
    </row>
    <row r="531" spans="1:18" x14ac:dyDescent="0.25">
      <c r="A531" t="s">
        <v>108</v>
      </c>
      <c r="B531" t="s">
        <v>200</v>
      </c>
      <c r="C531" t="s">
        <v>227</v>
      </c>
      <c r="D531" t="s">
        <v>168</v>
      </c>
      <c r="E531" t="s">
        <v>341</v>
      </c>
      <c r="F531" t="e">
        <f t="shared" ca="1" si="9"/>
        <v>#NAME?</v>
      </c>
      <c r="G531" t="s">
        <v>592</v>
      </c>
      <c r="H531" t="s">
        <v>921</v>
      </c>
      <c r="I531">
        <v>236</v>
      </c>
      <c r="J531" t="s">
        <v>932</v>
      </c>
      <c r="K531" s="1">
        <v>45078</v>
      </c>
      <c r="O531" t="s">
        <v>969</v>
      </c>
      <c r="Q531" t="s">
        <v>1050</v>
      </c>
      <c r="R531" t="s">
        <v>1213</v>
      </c>
    </row>
    <row r="532" spans="1:18" x14ac:dyDescent="0.25">
      <c r="A532" t="s">
        <v>108</v>
      </c>
      <c r="B532" t="s">
        <v>200</v>
      </c>
      <c r="C532" t="s">
        <v>319</v>
      </c>
      <c r="D532" t="s">
        <v>170</v>
      </c>
      <c r="E532" t="s">
        <v>341</v>
      </c>
      <c r="F532" t="e">
        <f t="shared" ca="1" si="9"/>
        <v>#NAME?</v>
      </c>
      <c r="G532" t="s">
        <v>592</v>
      </c>
      <c r="H532" t="s">
        <v>922</v>
      </c>
      <c r="I532">
        <v>266</v>
      </c>
      <c r="J532" t="s">
        <v>932</v>
      </c>
      <c r="L532" s="1">
        <v>45077</v>
      </c>
      <c r="O532" t="s">
        <v>970</v>
      </c>
      <c r="Q532" t="s">
        <v>1050</v>
      </c>
      <c r="R532" t="s">
        <v>1214</v>
      </c>
    </row>
    <row r="533" spans="1:18" x14ac:dyDescent="0.25">
      <c r="A533" t="s">
        <v>108</v>
      </c>
      <c r="B533" t="s">
        <v>200</v>
      </c>
      <c r="C533" t="s">
        <v>227</v>
      </c>
      <c r="D533" t="s">
        <v>168</v>
      </c>
      <c r="E533" t="s">
        <v>341</v>
      </c>
      <c r="F533" t="e">
        <f t="shared" ca="1" si="9"/>
        <v>#NAME?</v>
      </c>
      <c r="G533" t="s">
        <v>626</v>
      </c>
      <c r="H533" t="s">
        <v>629</v>
      </c>
      <c r="I533">
        <v>110</v>
      </c>
      <c r="J533">
        <v>1</v>
      </c>
      <c r="Q533" t="s">
        <v>1008</v>
      </c>
      <c r="R533" t="s">
        <v>1088</v>
      </c>
    </row>
    <row r="534" spans="1:18" x14ac:dyDescent="0.25">
      <c r="A534" t="s">
        <v>108</v>
      </c>
      <c r="B534" t="s">
        <v>200</v>
      </c>
      <c r="C534" t="s">
        <v>227</v>
      </c>
      <c r="D534" t="s">
        <v>168</v>
      </c>
      <c r="E534" t="s">
        <v>341</v>
      </c>
      <c r="F534" t="e">
        <f t="shared" ca="1" si="9"/>
        <v>#NAME?</v>
      </c>
      <c r="G534" t="s">
        <v>694</v>
      </c>
      <c r="H534" t="s">
        <v>888</v>
      </c>
      <c r="I534">
        <v>506</v>
      </c>
      <c r="J534">
        <v>1</v>
      </c>
      <c r="Q534" t="s">
        <v>1126</v>
      </c>
      <c r="R534" t="s">
        <v>1195</v>
      </c>
    </row>
    <row r="535" spans="1:18" x14ac:dyDescent="0.25">
      <c r="A535" t="s">
        <v>108</v>
      </c>
      <c r="B535" t="s">
        <v>200</v>
      </c>
      <c r="C535" t="s">
        <v>319</v>
      </c>
      <c r="D535" t="s">
        <v>170</v>
      </c>
      <c r="E535" t="s">
        <v>341</v>
      </c>
      <c r="F535" t="e">
        <f t="shared" ca="1" si="9"/>
        <v>#NAME?</v>
      </c>
      <c r="G535" t="s">
        <v>618</v>
      </c>
      <c r="H535" t="s">
        <v>923</v>
      </c>
      <c r="I535">
        <v>266</v>
      </c>
      <c r="J535" t="s">
        <v>932</v>
      </c>
      <c r="K535" s="1">
        <v>45078</v>
      </c>
      <c r="O535" t="s">
        <v>969</v>
      </c>
      <c r="Q535" t="s">
        <v>1051</v>
      </c>
      <c r="R535" t="s">
        <v>1215</v>
      </c>
    </row>
    <row r="536" spans="1:18" x14ac:dyDescent="0.25">
      <c r="A536" t="s">
        <v>108</v>
      </c>
      <c r="B536" t="s">
        <v>200</v>
      </c>
      <c r="C536" t="s">
        <v>227</v>
      </c>
      <c r="D536" t="s">
        <v>168</v>
      </c>
      <c r="E536" t="s">
        <v>341</v>
      </c>
      <c r="F536" t="e">
        <f t="shared" ca="1" si="9"/>
        <v>#NAME?</v>
      </c>
      <c r="G536" t="s">
        <v>631</v>
      </c>
      <c r="H536" t="s">
        <v>862</v>
      </c>
      <c r="I536">
        <v>236</v>
      </c>
      <c r="J536" t="s">
        <v>932</v>
      </c>
      <c r="L536" s="1">
        <v>45077</v>
      </c>
      <c r="O536" t="s">
        <v>970</v>
      </c>
      <c r="Q536" t="s">
        <v>1089</v>
      </c>
      <c r="R536" t="s">
        <v>1176</v>
      </c>
    </row>
    <row r="537" spans="1:18" x14ac:dyDescent="0.25">
      <c r="A537" t="s">
        <v>108</v>
      </c>
      <c r="B537" t="s">
        <v>200</v>
      </c>
      <c r="C537" t="s">
        <v>228</v>
      </c>
      <c r="D537" t="s">
        <v>172</v>
      </c>
      <c r="E537" t="s">
        <v>341</v>
      </c>
      <c r="F537" t="e">
        <f t="shared" ca="1" si="9"/>
        <v>#NAME?</v>
      </c>
      <c r="G537" t="s">
        <v>694</v>
      </c>
      <c r="H537" t="s">
        <v>924</v>
      </c>
      <c r="I537">
        <v>506</v>
      </c>
      <c r="J537" t="s">
        <v>932</v>
      </c>
      <c r="Q537" t="s">
        <v>1126</v>
      </c>
      <c r="R537" t="s">
        <v>1001</v>
      </c>
    </row>
    <row r="538" spans="1:18" x14ac:dyDescent="0.25">
      <c r="A538" t="s">
        <v>108</v>
      </c>
      <c r="B538" t="s">
        <v>200</v>
      </c>
      <c r="C538" t="s">
        <v>320</v>
      </c>
      <c r="D538" t="s">
        <v>199</v>
      </c>
      <c r="E538" t="s">
        <v>341</v>
      </c>
      <c r="F538" t="e">
        <f t="shared" ca="1" si="9"/>
        <v>#NAME?</v>
      </c>
      <c r="G538" t="s">
        <v>626</v>
      </c>
      <c r="H538" t="s">
        <v>925</v>
      </c>
      <c r="I538">
        <v>110</v>
      </c>
      <c r="J538" t="s">
        <v>932</v>
      </c>
      <c r="Q538" t="s">
        <v>1008</v>
      </c>
      <c r="R538" t="s">
        <v>1216</v>
      </c>
    </row>
    <row r="539" spans="1:18" x14ac:dyDescent="0.25">
      <c r="A539" t="s">
        <v>109</v>
      </c>
      <c r="B539" t="s">
        <v>201</v>
      </c>
      <c r="C539" t="s">
        <v>281</v>
      </c>
      <c r="D539" t="s">
        <v>163</v>
      </c>
      <c r="E539" t="s">
        <v>407</v>
      </c>
      <c r="F539" t="e">
        <f t="shared" ca="1" si="9"/>
        <v>#NAME?</v>
      </c>
      <c r="G539" t="s">
        <v>695</v>
      </c>
      <c r="H539" t="s">
        <v>926</v>
      </c>
      <c r="I539">
        <v>77</v>
      </c>
      <c r="J539" t="s">
        <v>932</v>
      </c>
      <c r="Q539" t="s">
        <v>1127</v>
      </c>
      <c r="R539" t="s">
        <v>1217</v>
      </c>
    </row>
    <row r="540" spans="1:18" x14ac:dyDescent="0.25">
      <c r="A540" t="s">
        <v>110</v>
      </c>
      <c r="B540" t="s">
        <v>202</v>
      </c>
      <c r="C540" t="s">
        <v>234</v>
      </c>
      <c r="D540" t="s">
        <v>119</v>
      </c>
      <c r="E540" t="s">
        <v>341</v>
      </c>
      <c r="F540" t="e">
        <f t="shared" ca="1" si="9"/>
        <v>#NAME?</v>
      </c>
      <c r="G540" t="s">
        <v>639</v>
      </c>
      <c r="H540" t="s">
        <v>690</v>
      </c>
      <c r="I540">
        <v>624</v>
      </c>
      <c r="J540" t="s">
        <v>932</v>
      </c>
      <c r="Q540" t="s">
        <v>1095</v>
      </c>
      <c r="R540" t="s">
        <v>1024</v>
      </c>
    </row>
    <row r="541" spans="1:18" x14ac:dyDescent="0.25">
      <c r="A541" t="s">
        <v>110</v>
      </c>
      <c r="B541" t="s">
        <v>203</v>
      </c>
      <c r="C541" t="s">
        <v>321</v>
      </c>
      <c r="D541" t="s">
        <v>123</v>
      </c>
      <c r="E541" t="s">
        <v>349</v>
      </c>
      <c r="F541" t="e">
        <f t="shared" ca="1" si="9"/>
        <v>#NAME?</v>
      </c>
      <c r="G541" t="s">
        <v>696</v>
      </c>
      <c r="H541" t="s">
        <v>914</v>
      </c>
      <c r="I541">
        <v>92</v>
      </c>
      <c r="J541" t="s">
        <v>932</v>
      </c>
      <c r="Q541" t="s">
        <v>1128</v>
      </c>
      <c r="R541" t="s">
        <v>1165</v>
      </c>
    </row>
    <row r="542" spans="1:18" x14ac:dyDescent="0.25">
      <c r="A542" t="s">
        <v>110</v>
      </c>
      <c r="B542" t="s">
        <v>203</v>
      </c>
      <c r="C542" t="s">
        <v>322</v>
      </c>
      <c r="D542" t="s">
        <v>137</v>
      </c>
      <c r="E542" t="s">
        <v>369</v>
      </c>
      <c r="F542" t="e">
        <f t="shared" ca="1" si="9"/>
        <v>#NAME?</v>
      </c>
      <c r="G542" t="s">
        <v>696</v>
      </c>
      <c r="H542" t="s">
        <v>684</v>
      </c>
      <c r="I542">
        <v>92</v>
      </c>
      <c r="J542" t="s">
        <v>932</v>
      </c>
      <c r="Q542" t="s">
        <v>1128</v>
      </c>
      <c r="R542" t="s">
        <v>1041</v>
      </c>
    </row>
    <row r="543" spans="1:18" x14ac:dyDescent="0.25">
      <c r="A543" t="s">
        <v>110</v>
      </c>
      <c r="B543" t="s">
        <v>203</v>
      </c>
      <c r="C543" t="s">
        <v>243</v>
      </c>
      <c r="D543" t="s">
        <v>327</v>
      </c>
      <c r="E543" t="s">
        <v>341</v>
      </c>
      <c r="F543" t="e">
        <f t="shared" ca="1" si="9"/>
        <v>#NAME?</v>
      </c>
      <c r="G543" t="s">
        <v>697</v>
      </c>
      <c r="H543" t="s">
        <v>927</v>
      </c>
      <c r="I543">
        <v>90</v>
      </c>
      <c r="J543" t="s">
        <v>932</v>
      </c>
      <c r="O543" t="s">
        <v>944</v>
      </c>
      <c r="Q543" t="s">
        <v>1129</v>
      </c>
      <c r="R543" t="s">
        <v>1218</v>
      </c>
    </row>
    <row r="544" spans="1:18" x14ac:dyDescent="0.25">
      <c r="A544" t="s">
        <v>110</v>
      </c>
      <c r="B544" t="s">
        <v>203</v>
      </c>
      <c r="C544" t="s">
        <v>227</v>
      </c>
      <c r="D544" t="s">
        <v>168</v>
      </c>
      <c r="E544" t="s">
        <v>341</v>
      </c>
      <c r="F544" t="e">
        <f t="shared" ca="1" si="9"/>
        <v>#NAME?</v>
      </c>
      <c r="G544" t="s">
        <v>698</v>
      </c>
      <c r="H544" t="s">
        <v>691</v>
      </c>
      <c r="I544">
        <v>91</v>
      </c>
      <c r="J544" t="s">
        <v>932</v>
      </c>
      <c r="Q544" t="s">
        <v>1130</v>
      </c>
      <c r="R544" t="s">
        <v>1124</v>
      </c>
    </row>
    <row r="545" spans="1:18" x14ac:dyDescent="0.25">
      <c r="A545" t="s">
        <v>110</v>
      </c>
      <c r="B545" t="s">
        <v>203</v>
      </c>
      <c r="C545" t="s">
        <v>323</v>
      </c>
      <c r="D545" t="s">
        <v>191</v>
      </c>
      <c r="E545" t="s">
        <v>402</v>
      </c>
      <c r="F545" t="e">
        <f t="shared" ca="1" si="9"/>
        <v>#NAME?</v>
      </c>
      <c r="G545" t="s">
        <v>696</v>
      </c>
      <c r="H545" t="s">
        <v>592</v>
      </c>
      <c r="I545">
        <v>92</v>
      </c>
      <c r="J545" t="s">
        <v>932</v>
      </c>
      <c r="Q545" t="s">
        <v>1128</v>
      </c>
      <c r="R545" t="s">
        <v>1050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2023-12-24T20:40:22Z</dcterms:created>
  <dcterms:modified xsi:type="dcterms:W3CDTF">2023-12-30T16:09:03Z</dcterms:modified>
</cp:coreProperties>
</file>